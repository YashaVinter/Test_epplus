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ml.chart+xml" PartName="/xl/charts/chart7.xml"/>
  <Override ContentType="application/vnd.ms-office.chartstyle+xml" PartName="/xl/charts/style7.xml"/>
  <Override ContentType="application/vnd.ms-office.chartcolorstyle+xml" PartName="/xl/charts/colors7.xml"/>
  <Override ContentType="application/vnd.openxmlformats-officedocument.drawingml.chart+xml" PartName="/xl/charts/chart8.xml"/>
  <Override ContentType="application/vnd.ms-office.chartstyle+xml" PartName="/xl/charts/style8.xml"/>
  <Override ContentType="application/vnd.ms-office.chartcolorstyle+xml" PartName="/xl/charts/colors8.xml"/>
  <Override ContentType="application/vnd.openxmlformats-officedocument.drawingml.chart+xml" PartName="/xl/charts/chart9.xml"/>
  <Override ContentType="application/vnd.ms-office.chartstyle+xml" PartName="/xl/charts/style9.xml"/>
  <Override ContentType="application/vnd.ms-office.chartcolorstyle+xml" PartName="/xl/charts/colors9.xml"/>
  <Override ContentType="application/vnd.openxmlformats-officedocument.drawingml.chart+xml" PartName="/xl/charts/chart10.xml"/>
  <Override ContentType="application/vnd.ms-office.chartstyle+xml" PartName="/xl/charts/style10.xml"/>
  <Override ContentType="application/vnd.ms-office.chartcolorstyle+xml" PartName="/xl/charts/colors10.xml"/>
  <Override ContentType="application/vnd.openxmlformats-officedocument.drawingml.chart+xml" PartName="/xl/charts/chart11.xml"/>
  <Override ContentType="application/vnd.ms-office.chartstyle+xml" PartName="/xl/charts/style11.xml"/>
  <Override ContentType="application/vnd.ms-office.chartcolorstyle+xml" PartName="/xl/charts/colors11.xml"/>
  <Override ContentType="application/vnd.openxmlformats-officedocument.drawingml.chart+xml" PartName="/xl/charts/chart12.xml"/>
  <Override ContentType="application/vnd.ms-office.chartstyle+xml" PartName="/xl/charts/style12.xml"/>
  <Override ContentType="application/vnd.ms-office.chartcolorstyle+xml" PartName="/xl/charts/colors12.xml"/>
  <Override ContentType="application/vnd.openxmlformats-officedocument.drawingml.chart+xml" PartName="/xl/charts/chart13.xml"/>
  <Override ContentType="application/vnd.ms-office.chartstyle+xml" PartName="/xl/charts/style13.xml"/>
  <Override ContentType="application/vnd.ms-office.chartcolorstyle+xml" PartName="/xl/charts/colors13.xml"/>
  <Override ContentType="application/vnd.openxmlformats-officedocument.drawingml.chart+xml" PartName="/xl/charts/chart14.xml"/>
  <Override ContentType="application/vnd.ms-office.chartstyle+xml" PartName="/xl/charts/style14.xml"/>
  <Override ContentType="application/vnd.ms-office.chartcolorstyle+xml" PartName="/xl/charts/colors14.xml"/>
  <Override ContentType="application/vnd.openxmlformats-officedocument.drawingml.chart+xml" PartName="/xl/charts/chart15.xml"/>
  <Override ContentType="application/vnd.ms-office.chartstyle+xml" PartName="/xl/charts/style15.xml"/>
  <Override ContentType="application/vnd.ms-office.chartcolorstyle+xml" PartName="/xl/charts/colors15.xml"/>
  <Override ContentType="application/vnd.openxmlformats-officedocument.drawingml.chart+xml" PartName="/xl/charts/chart16.xml"/>
  <Override ContentType="application/vnd.ms-office.chartstyle+xml" PartName="/xl/charts/style16.xml"/>
  <Override ContentType="application/vnd.ms-office.chartcolorstyle+xml" PartName="/xl/charts/colors16.xml"/>
  <Override ContentType="application/vnd.openxmlformats-officedocument.drawingml.chart+xml" PartName="/xl/charts/chart17.xml"/>
  <Override ContentType="application/vnd.ms-office.chartstyle+xml" PartName="/xl/charts/style17.xml"/>
  <Override ContentType="application/vnd.ms-office.chartcolorstyle+xml" PartName="/xl/charts/colors17.xml"/>
  <Override ContentType="application/vnd.openxmlformats-officedocument.drawingml.chart+xml" PartName="/xl/charts/chart18.xml"/>
  <Override ContentType="application/vnd.ms-office.chartstyle+xml" PartName="/xl/charts/style18.xml"/>
  <Override ContentType="application/vnd.ms-office.chartcolorstyle+xml" PartName="/xl/charts/colors18.xml"/>
  <Override ContentType="application/vnd.openxmlformats-officedocument.drawingml.chart+xml" PartName="/xl/charts/chart19.xml"/>
  <Override ContentType="application/vnd.ms-office.chartstyle+xml" PartName="/xl/charts/style19.xml"/>
  <Override ContentType="application/vnd.ms-office.chartcolorstyle+xml" PartName="/xl/charts/colors19.xml"/>
  <Override ContentType="application/vnd.openxmlformats-officedocument.drawingml.chart+xml" PartName="/xl/charts/chart20.xml"/>
  <Override ContentType="application/vnd.ms-office.chartstyle+xml" PartName="/xl/charts/style20.xml"/>
  <Override ContentType="application/vnd.ms-office.chartcolorstyle+xml" PartName="/xl/charts/colors20.xml"/>
  <Override ContentType="application/vnd.openxmlformats-officedocument.drawingml.chart+xml" PartName="/xl/charts/chart21.xml"/>
  <Override ContentType="application/vnd.ms-office.chartstyle+xml" PartName="/xl/charts/style21.xml"/>
  <Override ContentType="application/vnd.ms-office.chartcolorstyle+xml" PartName="/xl/charts/colors21.xml"/>
  <Override ContentType="application/vnd.openxmlformats-officedocument.drawingml.chart+xml" PartName="/xl/charts/chart22.xml"/>
  <Override ContentType="application/vnd.ms-office.chartstyle+xml" PartName="/xl/charts/style22.xml"/>
  <Override ContentType="application/vnd.ms-office.chartcolorstyle+xml" PartName="/xl/charts/colors22.xml"/>
  <Override ContentType="application/vnd.openxmlformats-officedocument.drawingml.chart+xml" PartName="/xl/charts/chart23.xml"/>
  <Override ContentType="application/vnd.ms-office.chartstyle+xml" PartName="/xl/charts/style23.xml"/>
  <Override ContentType="application/vnd.ms-office.chartcolorstyle+xml" PartName="/xl/charts/colors23.xml"/>
  <Override ContentType="application/vnd.openxmlformats-officedocument.drawingml.chart+xml" PartName="/xl/charts/chart24.xml"/>
  <Override ContentType="application/vnd.ms-office.chartstyle+xml" PartName="/xl/charts/style24.xml"/>
  <Override ContentType="application/vnd.ms-office.chartcolorstyle+xml" PartName="/xl/charts/colors24.xml"/>
  <Override ContentType="application/vnd.openxmlformats-officedocument.drawingml.chart+xml" PartName="/xl/charts/chart25.xml"/>
  <Override ContentType="application/vnd.ms-office.chartstyle+xml" PartName="/xl/charts/style25.xml"/>
  <Override ContentType="application/vnd.ms-office.chartcolorstyle+xml" PartName="/xl/charts/colors25.xml"/>
  <Override ContentType="application/vnd.openxmlformats-officedocument.drawingml.chart+xml" PartName="/xl/charts/chart26.xml"/>
  <Override ContentType="application/vnd.ms-office.chartstyle+xml" PartName="/xl/charts/style26.xml"/>
  <Override ContentType="application/vnd.ms-office.chartcolorstyle+xml" PartName="/xl/charts/colors26.xml"/>
  <Override ContentType="application/vnd.openxmlformats-officedocument.drawingml.chart+xml" PartName="/xl/charts/chart27.xml"/>
  <Override ContentType="application/vnd.ms-office.chartstyle+xml" PartName="/xl/charts/style27.xml"/>
  <Override ContentType="application/vnd.ms-office.chartcolorstyle+xml" PartName="/xl/charts/colors27.xml"/>
  <Override ContentType="application/vnd.openxmlformats-officedocument.drawingml.chart+xml" PartName="/xl/charts/chart28.xml"/>
  <Override ContentType="application/vnd.ms-office.chartstyle+xml" PartName="/xl/charts/style28.xml"/>
  <Override ContentType="application/vnd.ms-office.chartcolorstyle+xml" PartName="/xl/charts/colors28.xml"/>
  <Override ContentType="application/vnd.openxmlformats-officedocument.drawing+xml" PartName="/xl/drawings/drawing2.xml"/>
  <Override ContentType="application/vnd.openxmlformats-officedocument.drawingml.chart+xml" PartName="/xl/charts/chart29.xml"/>
  <Override ContentType="application/vnd.ms-office.chartstyle+xml" PartName="/xl/charts/style29.xml"/>
  <Override ContentType="application/vnd.ms-office.chartcolorstyle+xml" PartName="/xl/charts/colors29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Работа Энергоком\Сургут\Протоколы+текучка\Наладка\Комплексное опробование\Прогрузка токовых цепей\09,11,2021\"/>
    </mc:Choice>
  </mc:AlternateContent>
  <xr:revisionPtr revIDLastSave="0" documentId="8_{4EEF2474-0635-47E6-B0F1-5228B4E9BB59}" xr6:coauthVersionLast="37" xr6:coauthVersionMax="37" xr10:uidLastSave="{00000000-0000-0000-0000-000000000000}"/>
  <bookViews>
    <workbookView xWindow="0" yWindow="0" windowWidth="28800" windowHeight="12225" tabRatio="1000" activeTab="3" xr2:uid="{00000000-000D-0000-FFFF-FFFF00000000}"/>
  </bookViews>
  <sheets>
    <sheet name="По трансформаторам" sheetId="2" r:id="rId1"/>
    <sheet name="По терминалам" sheetId="5" r:id="rId2"/>
    <sheet name="По трансформаторам 2" sheetId="4" r:id="rId3"/>
    <sheet name="По терминалам 2" sheetId="7" r:id="rId4"/>
  </sheets>
  <definedNames>
    <definedName name="_xlnm._FilterDatabase" localSheetId="0" hidden="1">'По трансформаторам'!$Y$10:$Y$266</definedName>
    <definedName name="_xlnm.Print_Area" localSheetId="0">'По трансформаторам'!$C$9:$Q$26,'По трансформаторам'!$C$27:$Q$46</definedName>
    <definedName name="_xlnm._FilterDatabase" localSheetId="1" hidden="1">'По терминалам'!$B$9:$Q$10</definedName>
    <definedName name="_xlnm.Print_Area" localSheetId="2">'По трансформаторам 2'!#REF!,'По трансформаторам 2'!#REF!</definedName>
  </definedNames>
  <calcPr calcId="179021" fullCalcOnLoad="1" calcMode="auto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<sst xmlns="http://schemas.openxmlformats.org/spreadsheetml/2006/main" count="428" uniqueCount="428">
  <si>
    <t>Конвертер углов</t>
  </si>
  <si>
    <t>Угол подстройки (Визуал)</t>
  </si>
  <si>
    <t>Вводим</t>
  </si>
  <si>
    <t>Получаем</t>
  </si>
  <si>
    <t>Протокол проверки цепей тока защит Блока 1 первичным током от постороннего источника (СН 0,4кВ).</t>
  </si>
  <si>
    <t>Рекоммендуемое значение</t>
  </si>
  <si>
    <t>163L</t>
  </si>
  <si>
    <t>79C</t>
  </si>
  <si>
    <t>45L</t>
  </si>
  <si>
    <t>№</t>
  </si>
  <si>
    <t>Токовая цепь</t>
  </si>
  <si>
    <t>Место измерения</t>
  </si>
  <si>
    <t>Маркировка</t>
  </si>
  <si>
    <t>Измерения с клемм</t>
  </si>
  <si>
    <t>Измерение с БИ</t>
  </si>
  <si>
    <t>Клеммник</t>
  </si>
  <si>
    <t>Вход. клемма</t>
  </si>
  <si>
    <t>Ток</t>
  </si>
  <si>
    <t>Угол</t>
  </si>
  <si>
    <t>Выход. клемма</t>
  </si>
  <si>
    <t>№ БИ</t>
  </si>
  <si>
    <t>Вход. Колок</t>
  </si>
  <si>
    <t>Выход. Колок</t>
  </si>
  <si>
    <t>Угол с правкой</t>
  </si>
  <si>
    <t>X</t>
  </si>
  <si>
    <t>Y</t>
  </si>
  <si>
    <t>TA1</t>
  </si>
  <si>
    <t>РЩГ-1 Шкаф 1HA06</t>
  </si>
  <si>
    <t>A411</t>
  </si>
  <si>
    <t>124</t>
  </si>
  <si>
    <t>01SG3.1</t>
  </si>
  <si>
    <t>B411</t>
  </si>
  <si>
    <t>125</t>
  </si>
  <si>
    <t>C411</t>
  </si>
  <si>
    <t>126</t>
  </si>
  <si>
    <t>N411</t>
  </si>
  <si>
    <t>127</t>
  </si>
  <si>
    <t>-</t>
  </si>
  <si>
    <t>A412</t>
  </si>
  <si>
    <t>2</t>
  </si>
  <si>
    <t>02SG1.1</t>
  </si>
  <si>
    <t>4</t>
  </si>
  <si>
    <t>TA11</t>
  </si>
  <si>
    <t>A411-11</t>
  </si>
  <si>
    <t>01SG4.1</t>
  </si>
  <si>
    <t>B411-11</t>
  </si>
  <si>
    <t>C411-11</t>
  </si>
  <si>
    <t>N411-11</t>
  </si>
  <si>
    <t>A412-11</t>
  </si>
  <si>
    <t>02SG2.1</t>
  </si>
  <si>
    <t>TA21</t>
  </si>
  <si>
    <t>A411-8</t>
  </si>
  <si>
    <t>01SG5.1</t>
  </si>
  <si>
    <t>B411-8</t>
  </si>
  <si>
    <t>C411-8</t>
  </si>
  <si>
    <t>N411-8</t>
  </si>
  <si>
    <t>A412-8</t>
  </si>
  <si>
    <t>6</t>
  </si>
  <si>
    <t>TA2</t>
  </si>
  <si>
    <t>РЩГ-1 Шкаф 1HA07</t>
  </si>
  <si>
    <t>A421</t>
  </si>
  <si>
    <t>B421</t>
  </si>
  <si>
    <t>C421</t>
  </si>
  <si>
    <t>N421</t>
  </si>
  <si>
    <t>TA12</t>
  </si>
  <si>
    <t>A421-11</t>
  </si>
  <si>
    <t>B421-11</t>
  </si>
  <si>
    <t>C421-11</t>
  </si>
  <si>
    <t>N421-11</t>
  </si>
  <si>
    <t>РЩГ-1 Шкаф 1HA13</t>
  </si>
  <si>
    <t>А413</t>
  </si>
  <si>
    <t>XT1</t>
  </si>
  <si>
    <t>SG3</t>
  </si>
  <si>
    <t>В412</t>
  </si>
  <si>
    <t>С412</t>
  </si>
  <si>
    <t>А413-11</t>
  </si>
  <si>
    <t>В412-11</t>
  </si>
  <si>
    <t>С412-11</t>
  </si>
  <si>
    <t>А413-8</t>
  </si>
  <si>
    <t>SG5</t>
  </si>
  <si>
    <t>В412-8</t>
  </si>
  <si>
    <t>С412-8</t>
  </si>
  <si>
    <t>N412-8</t>
  </si>
  <si>
    <t>РЩГ-1 Шкаф 1HA14</t>
  </si>
  <si>
    <t>А422</t>
  </si>
  <si>
    <t>XT24</t>
  </si>
  <si>
    <t>SG24-1</t>
  </si>
  <si>
    <t>В422</t>
  </si>
  <si>
    <t>С422</t>
  </si>
  <si>
    <t>SG24-2</t>
  </si>
  <si>
    <t>РЩГ-1 Шкаф 1HA15</t>
  </si>
  <si>
    <t>А423</t>
  </si>
  <si>
    <t>SG4</t>
  </si>
  <si>
    <t>В423</t>
  </si>
  <si>
    <t>С423</t>
  </si>
  <si>
    <t>ЯЗТ 1BT</t>
  </si>
  <si>
    <t>1</t>
  </si>
  <si>
    <t>Нет БИ</t>
  </si>
  <si>
    <t>3</t>
  </si>
  <si>
    <t>7</t>
  </si>
  <si>
    <t>8</t>
  </si>
  <si>
    <t>9</t>
  </si>
  <si>
    <t>10</t>
  </si>
  <si>
    <t xml:space="preserve">КРУ-6кВ.  Секция 1ВА. Ячейка 11</t>
  </si>
  <si>
    <t>XТ1</t>
  </si>
  <si>
    <t>ХТ1</t>
  </si>
  <si>
    <t xml:space="preserve">КРУ-6кВ.  Секция 1ВВ. Ячейка 8</t>
  </si>
  <si>
    <t>TA22</t>
  </si>
  <si>
    <t>А431</t>
  </si>
  <si>
    <t>167L</t>
  </si>
  <si>
    <t>В431</t>
  </si>
  <si>
    <t>73C</t>
  </si>
  <si>
    <t>TA3</t>
  </si>
  <si>
    <t>РЩГ-1 1НА01 защиты 1Г 1к</t>
  </si>
  <si>
    <t>Цепи тока</t>
  </si>
  <si>
    <t>162L</t>
  </si>
  <si>
    <t>77C</t>
  </si>
  <si>
    <t>С431</t>
  </si>
  <si>
    <t>43L</t>
  </si>
  <si>
    <t>N431</t>
  </si>
  <si>
    <t>TA13.1</t>
  </si>
  <si>
    <t>А531.1</t>
  </si>
  <si>
    <t>165L</t>
  </si>
  <si>
    <t>168L</t>
  </si>
  <si>
    <t>В531.1</t>
  </si>
  <si>
    <t>С531.1</t>
  </si>
  <si>
    <t>41L</t>
  </si>
  <si>
    <t>N531.1</t>
  </si>
  <si>
    <t>TA13.2</t>
  </si>
  <si>
    <t>А531.2</t>
  </si>
  <si>
    <t>166L</t>
  </si>
  <si>
    <t>164L</t>
  </si>
  <si>
    <t>В531.2</t>
  </si>
  <si>
    <t>78C</t>
  </si>
  <si>
    <t>С531.2</t>
  </si>
  <si>
    <t>44L</t>
  </si>
  <si>
    <t>N531.2</t>
  </si>
  <si>
    <t>TA17</t>
  </si>
  <si>
    <t>H571</t>
  </si>
  <si>
    <t>SG6</t>
  </si>
  <si>
    <t>О571</t>
  </si>
  <si>
    <t>TA4</t>
  </si>
  <si>
    <t>РЩГ-1 1НА02 защиты 1Г 2к</t>
  </si>
  <si>
    <t>А441</t>
  </si>
  <si>
    <t>175L</t>
  </si>
  <si>
    <t>В441</t>
  </si>
  <si>
    <t>С441</t>
  </si>
  <si>
    <t>42L</t>
  </si>
  <si>
    <t>N441</t>
  </si>
  <si>
    <t>TA12.1</t>
  </si>
  <si>
    <t>А521.1</t>
  </si>
  <si>
    <t>В521.1</t>
  </si>
  <si>
    <t>С521.1</t>
  </si>
  <si>
    <t>40L</t>
  </si>
  <si>
    <t>N521.1</t>
  </si>
  <si>
    <t>TA12.2</t>
  </si>
  <si>
    <t>А521.2</t>
  </si>
  <si>
    <t>В521.2</t>
  </si>
  <si>
    <t>С521.2</t>
  </si>
  <si>
    <t>N521.2</t>
  </si>
  <si>
    <t>TA18</t>
  </si>
  <si>
    <t>H581</t>
  </si>
  <si>
    <t>О581</t>
  </si>
  <si>
    <t>TA3-1</t>
  </si>
  <si>
    <t>РЩГ-1 1НА04 защиты 1Т 1к</t>
  </si>
  <si>
    <t>А432</t>
  </si>
  <si>
    <t>X120</t>
  </si>
  <si>
    <t>X124</t>
  </si>
  <si>
    <t>В432</t>
  </si>
  <si>
    <t>X121</t>
  </si>
  <si>
    <t>X125</t>
  </si>
  <si>
    <t>С432</t>
  </si>
  <si>
    <t>X122</t>
  </si>
  <si>
    <t>X126</t>
  </si>
  <si>
    <t>X123</t>
  </si>
  <si>
    <t>TA6-1</t>
  </si>
  <si>
    <t>А462</t>
  </si>
  <si>
    <t>X128</t>
  </si>
  <si>
    <t>X132</t>
  </si>
  <si>
    <t>В462</t>
  </si>
  <si>
    <t>X129</t>
  </si>
  <si>
    <t>X133</t>
  </si>
  <si>
    <t>С462</t>
  </si>
  <si>
    <t>X130</t>
  </si>
  <si>
    <t>X134</t>
  </si>
  <si>
    <t>N462</t>
  </si>
  <si>
    <t>X131</t>
  </si>
  <si>
    <t>А411</t>
  </si>
  <si>
    <t>17L</t>
  </si>
  <si>
    <t>В411</t>
  </si>
  <si>
    <t>133L</t>
  </si>
  <si>
    <t>С411</t>
  </si>
  <si>
    <t>105C</t>
  </si>
  <si>
    <t>TL</t>
  </si>
  <si>
    <t>A2</t>
  </si>
  <si>
    <t>SG7</t>
  </si>
  <si>
    <t>B2</t>
  </si>
  <si>
    <t>C2</t>
  </si>
  <si>
    <t>N2</t>
  </si>
  <si>
    <t>TA16</t>
  </si>
  <si>
    <t>H561</t>
  </si>
  <si>
    <t>SG8</t>
  </si>
  <si>
    <t>О561</t>
  </si>
  <si>
    <t>TA14</t>
  </si>
  <si>
    <t>H541</t>
  </si>
  <si>
    <t>SG9</t>
  </si>
  <si>
    <t>О541</t>
  </si>
  <si>
    <t>155а</t>
  </si>
  <si>
    <t>TA8</t>
  </si>
  <si>
    <t>А481</t>
  </si>
  <si>
    <t>SG10</t>
  </si>
  <si>
    <t>В481</t>
  </si>
  <si>
    <t>С481</t>
  </si>
  <si>
    <t>46L</t>
  </si>
  <si>
    <t>N481</t>
  </si>
  <si>
    <t>А532.1</t>
  </si>
  <si>
    <t>SG11</t>
  </si>
  <si>
    <t>В532.1</t>
  </si>
  <si>
    <t>С532.1</t>
  </si>
  <si>
    <t>N532.1</t>
  </si>
  <si>
    <t>А532.2</t>
  </si>
  <si>
    <t>SG12</t>
  </si>
  <si>
    <t>В532.2</t>
  </si>
  <si>
    <t>С532.2</t>
  </si>
  <si>
    <t>N532.2</t>
  </si>
  <si>
    <t>TA1-1</t>
  </si>
  <si>
    <t>РЩГ-1 1НА05 защиты 1Т 2к</t>
  </si>
  <si>
    <t>TA8-1</t>
  </si>
  <si>
    <t>A481</t>
  </si>
  <si>
    <t>B481</t>
  </si>
  <si>
    <t>C481</t>
  </si>
  <si>
    <t>А421</t>
  </si>
  <si>
    <t>В421</t>
  </si>
  <si>
    <t>С421</t>
  </si>
  <si>
    <t>TA15</t>
  </si>
  <si>
    <t>H551</t>
  </si>
  <si>
    <t>О551</t>
  </si>
  <si>
    <t>153а</t>
  </si>
  <si>
    <t>H542</t>
  </si>
  <si>
    <t>TA7</t>
  </si>
  <si>
    <t>А471</t>
  </si>
  <si>
    <t>В471</t>
  </si>
  <si>
    <t>С471</t>
  </si>
  <si>
    <t>N471</t>
  </si>
  <si>
    <t>А522.1</t>
  </si>
  <si>
    <t>В522.1</t>
  </si>
  <si>
    <t>С522.1</t>
  </si>
  <si>
    <t>N522.1</t>
  </si>
  <si>
    <t>А522.2</t>
  </si>
  <si>
    <t>В522.2</t>
  </si>
  <si>
    <t>С522.2</t>
  </si>
  <si>
    <t>N522.2</t>
  </si>
  <si>
    <t>РЩГ-1 1НА13 РАС</t>
  </si>
  <si>
    <t>А472</t>
  </si>
  <si>
    <t>SG1</t>
  </si>
  <si>
    <t>В472</t>
  </si>
  <si>
    <t>С472</t>
  </si>
  <si>
    <t>N512</t>
  </si>
  <si>
    <t>H552</t>
  </si>
  <si>
    <t>SG2</t>
  </si>
  <si>
    <t>TA9</t>
  </si>
  <si>
    <t>РЩГ-1 1НА14 СОТИАССО</t>
  </si>
  <si>
    <t>А497-1Г</t>
  </si>
  <si>
    <t>ХТ58</t>
  </si>
  <si>
    <t>SG58-1 SG58-2</t>
  </si>
  <si>
    <t>В497-1Г</t>
  </si>
  <si>
    <t>С497-1Г</t>
  </si>
  <si>
    <t>N497-1Г</t>
  </si>
  <si>
    <t>TA10</t>
  </si>
  <si>
    <t>А503</t>
  </si>
  <si>
    <t>SG1.1</t>
  </si>
  <si>
    <t>В503</t>
  </si>
  <si>
    <t>С503</t>
  </si>
  <si>
    <t>N502</t>
  </si>
  <si>
    <t>РЩГ-1 1НА15 средств измерений</t>
  </si>
  <si>
    <t>А491</t>
  </si>
  <si>
    <t>Цепи переменного тока</t>
  </si>
  <si>
    <t>SG1-1 SG31-3</t>
  </si>
  <si>
    <t>В491</t>
  </si>
  <si>
    <t>С491</t>
  </si>
  <si>
    <t>N491</t>
  </si>
  <si>
    <t>А502</t>
  </si>
  <si>
    <t>01X Цепи переменного тока</t>
  </si>
  <si>
    <t>171L</t>
  </si>
  <si>
    <t>SG3 SG2</t>
  </si>
  <si>
    <t>В502</t>
  </si>
  <si>
    <t>С502</t>
  </si>
  <si>
    <t>БЩУ Шкаф 1GG05</t>
  </si>
  <si>
    <t>А504</t>
  </si>
  <si>
    <t>В504</t>
  </si>
  <si>
    <t>С504</t>
  </si>
  <si>
    <t>TA5</t>
  </si>
  <si>
    <t>Помещение возбуждения. Шкаф защит 1к</t>
  </si>
  <si>
    <t>А451</t>
  </si>
  <si>
    <t>Х60</t>
  </si>
  <si>
    <t>В451</t>
  </si>
  <si>
    <t>С451</t>
  </si>
  <si>
    <t>N451</t>
  </si>
  <si>
    <t>TA6</t>
  </si>
  <si>
    <t>Помещение возбуждения. Шкаф защит 2к</t>
  </si>
  <si>
    <t>А461</t>
  </si>
  <si>
    <t>В461</t>
  </si>
  <si>
    <t>С461</t>
  </si>
  <si>
    <t>N461</t>
  </si>
  <si>
    <t>ЭГРУ ШР</t>
  </si>
  <si>
    <t>А501</t>
  </si>
  <si>
    <t>В501</t>
  </si>
  <si>
    <t>С501</t>
  </si>
  <si>
    <t>N501</t>
  </si>
  <si>
    <t>ТА3</t>
  </si>
  <si>
    <t>ЭГРУ ШТН</t>
  </si>
  <si>
    <t>TA11.1 TA11.2</t>
  </si>
  <si>
    <t>А511</t>
  </si>
  <si>
    <t>В511</t>
  </si>
  <si>
    <t>С511</t>
  </si>
  <si>
    <t>N511</t>
  </si>
  <si>
    <t>ЯПТН</t>
  </si>
  <si>
    <t>ХТ11</t>
  </si>
  <si>
    <t>TA12-1</t>
  </si>
  <si>
    <t>ХТ12</t>
  </si>
  <si>
    <t>ХТ13</t>
  </si>
  <si>
    <t>ХТ17</t>
  </si>
  <si>
    <t>ТА1</t>
  </si>
  <si>
    <t>ЯЗТ 1Т</t>
  </si>
  <si>
    <t>ТА2</t>
  </si>
  <si>
    <t>Токовые цепи</t>
  </si>
  <si>
    <t>TA3a-1</t>
  </si>
  <si>
    <t>Шкаф ВШБ-13</t>
  </si>
  <si>
    <t>A431</t>
  </si>
  <si>
    <t>B431</t>
  </si>
  <si>
    <t>C431</t>
  </si>
  <si>
    <t>X121 X122 X123</t>
  </si>
  <si>
    <t>TA6a-1</t>
  </si>
  <si>
    <t>Шкаф ВЛБ-13</t>
  </si>
  <si>
    <t>X124 X125 X126</t>
  </si>
  <si>
    <t>TA1a-1</t>
  </si>
  <si>
    <t>X109</t>
  </si>
  <si>
    <t>X110</t>
  </si>
  <si>
    <t>X111</t>
  </si>
  <si>
    <t>X114 X112 X113</t>
  </si>
  <si>
    <t>БВС-1 Шкаф ДЗШ 500 кВ</t>
  </si>
  <si>
    <t>X141</t>
  </si>
  <si>
    <t>В413</t>
  </si>
  <si>
    <t>X142</t>
  </si>
  <si>
    <t>С413</t>
  </si>
  <si>
    <t>X143</t>
  </si>
  <si>
    <t>N413</t>
  </si>
  <si>
    <t>X144</t>
  </si>
  <si>
    <t>А483</t>
  </si>
  <si>
    <t>X1</t>
  </si>
  <si>
    <t>В483</t>
  </si>
  <si>
    <t>X2</t>
  </si>
  <si>
    <t>С483</t>
  </si>
  <si>
    <t>X3</t>
  </si>
  <si>
    <t>N483</t>
  </si>
  <si>
    <t>X4</t>
  </si>
  <si>
    <t>БВС-1 Шкаф 39Р ДЗО 1к</t>
  </si>
  <si>
    <t>03XC</t>
  </si>
  <si>
    <t>SGA3</t>
  </si>
  <si>
    <t>01XC</t>
  </si>
  <si>
    <t>01XC1</t>
  </si>
  <si>
    <t>01XC5</t>
  </si>
  <si>
    <t>01XC2</t>
  </si>
  <si>
    <t>01XC6</t>
  </si>
  <si>
    <t>01XC3</t>
  </si>
  <si>
    <t>01XC7</t>
  </si>
  <si>
    <t>01XC4</t>
  </si>
  <si>
    <t>01XC4a</t>
  </si>
  <si>
    <t>02XC</t>
  </si>
  <si>
    <t>02XC1</t>
  </si>
  <si>
    <t>02XC5</t>
  </si>
  <si>
    <t>02XC2</t>
  </si>
  <si>
    <t>02XC6</t>
  </si>
  <si>
    <t>02XC3</t>
  </si>
  <si>
    <t>02XC7</t>
  </si>
  <si>
    <t>02XC4</t>
  </si>
  <si>
    <t>02XC4a</t>
  </si>
  <si>
    <t>БВС-1 Шкаф 40Р ДЗО 2к</t>
  </si>
  <si>
    <t>TA1.1</t>
  </si>
  <si>
    <t>А412</t>
  </si>
  <si>
    <t>SGA1</t>
  </si>
  <si>
    <t>N412</t>
  </si>
  <si>
    <t>01XC8</t>
  </si>
  <si>
    <t>А482</t>
  </si>
  <si>
    <t>SGA2</t>
  </si>
  <si>
    <t>В482</t>
  </si>
  <si>
    <t>С482</t>
  </si>
  <si>
    <t>N482</t>
  </si>
  <si>
    <t>02XC8</t>
  </si>
  <si>
    <t>БВС-1 32Р ПА 1к</t>
  </si>
  <si>
    <t>БВС-1 33Р ПА 2к</t>
  </si>
  <si>
    <t>БВС-1 266Р ИП ТИ SIMEAS</t>
  </si>
  <si>
    <t>А424</t>
  </si>
  <si>
    <t>XT18</t>
  </si>
  <si>
    <t>SG18-1 SG18-2</t>
  </si>
  <si>
    <t>В424</t>
  </si>
  <si>
    <t>С424</t>
  </si>
  <si>
    <t xml:space="preserve">Трансформатор </t>
  </si>
  <si>
    <t>Класс точночти</t>
  </si>
  <si>
    <t>Кт</t>
  </si>
  <si>
    <t>U оп</t>
  </si>
  <si>
    <t>Место U оп</t>
  </si>
  <si>
    <t>10Р</t>
  </si>
  <si>
    <t>1000/5</t>
  </si>
  <si>
    <t>Фильтр</t>
  </si>
  <si>
    <t>ТА3a-1</t>
  </si>
  <si>
    <t>2000/1</t>
  </si>
  <si>
    <t>ТА4</t>
  </si>
  <si>
    <t>ТА5</t>
  </si>
  <si>
    <t>ТА6</t>
  </si>
  <si>
    <t>ТА6a-1</t>
  </si>
  <si>
    <t>ТА7</t>
  </si>
  <si>
    <t>ТА8</t>
  </si>
  <si>
    <t>ТА9</t>
  </si>
  <si>
    <t>ТА10</t>
  </si>
  <si>
    <t>ТА11.1 и ТА11.2</t>
  </si>
  <si>
    <t>ТА12-1</t>
  </si>
  <si>
    <t>15000/5</t>
  </si>
  <si>
    <t>ТА13.1</t>
  </si>
  <si>
    <t>ТА12.2</t>
  </si>
  <si>
    <t>ТА13.2</t>
  </si>
  <si>
    <t>ТА14</t>
  </si>
  <si>
    <t>ТА15</t>
  </si>
  <si>
    <t>ТА16</t>
  </si>
  <si>
    <t>ТА17</t>
  </si>
  <si>
    <t>ТА18</t>
  </si>
  <si>
    <t>ТА1a-1</t>
  </si>
  <si>
    <t>ТА8a-1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</si>
</sst>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"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 applyAlignment="1">
      <alignment horizontal="center" vertical="center"/>
    </xf>
    <xf numFmtId="0" applyNumberFormat="1" fontId="2" applyFont="1" fillId="0" applyFill="1" borderId="4" applyBorder="1" xfId="0" applyProtection="1" applyAlignment="1">
      <alignment horizontal="center" vertical="center" wrapText="1"/>
    </xf>
    <xf numFmtId="0" applyNumberFormat="1" fontId="2" applyFont="1" fillId="0" applyFill="1" borderId="2" applyBorder="1" xfId="0" applyProtection="1" applyAlignment="1">
      <alignment horizontal="center" vertical="center" wrapText="1"/>
    </xf>
    <xf numFmtId="0" applyNumberFormat="1" fontId="2" applyFont="1" fillId="0" applyFill="1" borderId="3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 applyAlignment="1">
      <alignment horizontal="center" vertical="center"/>
    </xf>
    <xf numFmtId="0" applyNumberFormat="1" fontId="1" applyFont="1" fillId="0" applyFill="1" borderId="8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49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/>
    <xf numFmtId="0" applyNumberFormat="1" fontId="1" applyFont="1" fillId="0" applyFill="1" borderId="33" applyBorder="1" xfId="0" applyProtection="1" applyAlignment="1">
      <alignment horizontal="center" vertical="center" wrapText="1"/>
    </xf>
    <xf numFmtId="0" applyNumberFormat="1" fontId="1" applyFont="1" fillId="0" applyFill="1" borderId="34" applyBorder="1" xfId="0" applyProtection="1" applyAlignment="1">
      <alignment horizontal="center" vertical="center"/>
    </xf>
    <xf numFmtId="49" applyNumberFormat="1" fontId="1" applyFont="1" fillId="0" applyFill="1" borderId="2" applyBorder="1" xfId="0" applyProtection="1" applyAlignment="1">
      <alignment horizontal="center" vertical="center"/>
    </xf>
    <xf numFmtId="0" applyNumberFormat="1" fontId="2" applyFont="1" fillId="0" applyFill="1" borderId="11" applyBorder="1" xfId="0" applyProtection="1" applyAlignment="1">
      <alignment horizontal="center" vertical="center"/>
    </xf>
    <xf numFmtId="49" applyNumberFormat="1" fontId="1" applyFont="1" fillId="0" applyFill="1" borderId="6" applyBorder="1" xfId="0" applyProtection="1" applyAlignment="1">
      <alignment horizontal="center" vertical="center" wrapText="1"/>
    </xf>
    <xf numFmtId="0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11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 wrapText="1"/>
    </xf>
    <xf numFmtId="0" applyNumberFormat="1" fontId="1" applyFont="1" fillId="0" applyFill="1" borderId="8" applyBorder="1" xfId="0" applyProtection="1" applyAlignment="1">
      <alignment horizontal="center" vertical="center"/>
    </xf>
    <xf numFmtId="0" applyNumberFormat="1" fontId="1" applyFont="1" fillId="0" applyFill="1" borderId="3" applyBorder="1" xfId="0" applyProtection="1"/>
    <xf numFmtId="0" applyNumberFormat="1" fontId="1" applyFont="1" fillId="0" applyFill="1" borderId="11" applyBorder="1" xfId="0" applyProtection="1"/>
    <xf numFmtId="49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7" applyBorder="1" xfId="0" applyProtection="1"/>
    <xf numFmtId="49" applyNumberFormat="1" fontId="1" applyFont="1" fillId="0" applyFill="1" borderId="2" applyBorder="1" xfId="0" applyProtection="1" applyAlignment="1">
      <alignment horizontal="center" vertical="center"/>
    </xf>
    <xf numFmtId="49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9" applyBorder="1" xfId="0" applyProtection="1" applyAlignment="1">
      <alignment horizontal="center" vertical="center"/>
    </xf>
    <xf numFmtId="0" applyNumberFormat="1" fontId="1" applyFont="1" fillId="0" applyFill="1" borderId="11" applyBorder="1" xfId="0" applyProtection="1" applyAlignment="1">
      <alignment horizontal="center" vertical="center"/>
    </xf>
    <xf numFmtId="0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2" applyFill="1" borderId="10" applyBorder="1" xfId="0" applyProtection="1" applyAlignment="1">
      <alignment horizontal="center" vertical="center"/>
    </xf>
    <xf numFmtId="0" applyNumberFormat="1" fontId="2" applyFont="1" fillId="0" applyFill="1" borderId="38" applyBorder="1" xfId="0" applyProtection="1" applyAlignment="1">
      <alignment horizontal="center" vertical="center" wrapText="1"/>
    </xf>
    <xf numFmtId="0" applyNumberFormat="1" fontId="2" applyFont="1" fillId="0" applyFill="1" borderId="38" applyBorder="1" xfId="0" applyProtection="1" applyAlignment="1">
      <alignment horizontal="center" vertical="center"/>
    </xf>
    <xf numFmtId="0" applyNumberFormat="1" fontId="2" applyFont="1" fillId="0" applyFill="1" borderId="39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/>
    <xf numFmtId="0" applyNumberFormat="1" fontId="1" applyFont="1" fillId="0" applyFill="1" borderId="34" applyBorder="1" xfId="0" applyProtection="1" applyAlignment="1">
      <alignment horizontal="center" vertical="center"/>
    </xf>
    <xf numFmtId="49" applyNumberFormat="1" fontId="1" applyFont="1" fillId="0" applyFill="1" borderId="34" applyBorder="1" xfId="0" applyProtection="1" applyAlignment="1">
      <alignment horizontal="center" vertical="center"/>
    </xf>
    <xf numFmtId="0" applyNumberFormat="1" fontId="1" applyFont="1" fillId="3" applyFill="1" borderId="2" applyBorder="1" xfId="0" applyProtection="1"/>
    <xf numFmtId="0" applyNumberFormat="1" fontId="1" applyFont="1" fillId="3" applyFill="1" borderId="3" applyBorder="1" xfId="0" applyProtection="1" applyAlignment="1">
      <alignment horizontal="center" vertical="center"/>
    </xf>
    <xf numFmtId="0" applyNumberFormat="1" fontId="1" applyFont="1" fillId="3" applyFill="1" borderId="0" applyBorder="1" xfId="0" applyProtection="1" applyAlignment="1">
      <alignment vertical="center"/>
    </xf>
    <xf numFmtId="0" applyNumberFormat="1" fontId="1" applyFont="1" fillId="3" applyFill="1" borderId="25" applyBorder="1" xfId="0" applyProtection="1" applyAlignment="1">
      <alignment vertical="center"/>
    </xf>
    <xf numFmtId="0" applyNumberFormat="1" fontId="1" applyFont="1" fillId="3" applyFill="1" borderId="10" applyBorder="1" xfId="0" applyProtection="1"/>
    <xf numFmtId="0" applyNumberFormat="1" fontId="1" applyFont="1" fillId="3" applyFill="1" borderId="11" applyBorder="1" xfId="0" applyProtection="1" applyAlignment="1">
      <alignment horizontal="center" vertical="center"/>
    </xf>
    <xf numFmtId="0" applyNumberFormat="1" fontId="1" applyFont="1" fillId="3" applyFill="1" borderId="19" applyBorder="1" xfId="0" applyProtection="1" applyAlignment="1">
      <alignment vertical="center"/>
    </xf>
    <xf numFmtId="0" applyNumberFormat="1" fontId="1" applyFont="1" fillId="3" applyFill="1" borderId="41" applyBorder="1" xfId="0" applyProtection="1" applyAlignment="1">
      <alignment vertical="center"/>
    </xf>
    <xf numFmtId="49" applyNumberFormat="1" fontId="1" applyFont="1" fillId="3" applyFill="1" borderId="34" applyBorder="1" xfId="0" applyProtection="1" applyAlignment="1">
      <alignment horizontal="center" vertical="center"/>
    </xf>
    <xf numFmtId="49" applyNumberFormat="1" fontId="1" applyFont="1" fillId="3" applyFill="1" borderId="47" applyBorder="1" xfId="0" applyProtection="1" applyAlignment="1">
      <alignment horizontal="center" vertical="center"/>
    </xf>
    <xf numFmtId="0" applyNumberFormat="1" fontId="1" applyFont="1" fillId="3" applyFill="1" borderId="24" applyBorder="1" xfId="0" applyProtection="1" applyAlignment="1">
      <alignment horizontal="center" vertical="center"/>
    </xf>
    <xf numFmtId="0" applyNumberFormat="1" fontId="1" applyFont="1" fillId="2" applyFill="1" borderId="11" applyBorder="1" xfId="0" applyProtection="1" applyAlignment="1">
      <alignment horizontal="center" vertical="center"/>
    </xf>
    <xf numFmtId="0" applyNumberFormat="1" fontId="1" applyFont="1" fillId="0" applyFill="1" borderId="47" applyBorder="1" xfId="0" applyProtection="1" applyAlignment="1">
      <alignment horizontal="center" vertical="center"/>
    </xf>
    <xf numFmtId="0" applyNumberFormat="1" fontId="1" applyFont="1" fillId="0" applyFill="1" borderId="21" applyBorder="1" xfId="0" applyProtection="1" applyAlignment="1">
      <alignment horizontal="center" vertical="center"/>
    </xf>
    <xf numFmtId="49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11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 wrapText="1"/>
    </xf>
    <xf numFmtId="0" applyNumberFormat="1" fontId="1" applyFont="1" fillId="0" applyFill="1" borderId="10" applyBorder="1" xfId="0" applyProtection="1" applyAlignment="1">
      <alignment horizontal="center" vertical="center" wrapText="1"/>
    </xf>
    <xf numFmtId="0" applyNumberFormat="1" fontId="2" applyFont="1" fillId="0" applyFill="1" borderId="9" applyBorder="1" xfId="0" applyProtection="1" applyAlignment="1">
      <alignment horizontal="center" vertical="center"/>
    </xf>
    <xf numFmtId="0" applyNumberFormat="1" fontId="1" applyFont="1" fillId="2" applyFill="1" borderId="2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horizontal="center" vertical="center"/>
    </xf>
    <xf numFmtId="0" applyNumberFormat="1" fontId="1" applyFont="1" fillId="4" applyFill="1" borderId="6" applyBorder="1" xfId="0" applyProtection="1" applyAlignment="1">
      <alignment horizontal="center" vertical="center"/>
    </xf>
    <xf numFmtId="0" applyNumberFormat="1" fontId="1" applyFont="1" fillId="4" applyFill="1" borderId="3" applyBorder="1" xfId="0" applyProtection="1" applyAlignment="1">
      <alignment horizontal="center" vertical="center"/>
    </xf>
    <xf numFmtId="0" applyNumberFormat="1" fontId="1" applyFont="1" fillId="4" applyFill="1" borderId="11" applyBorder="1" xfId="0" applyProtection="1" applyAlignment="1">
      <alignment horizontal="center" vertical="center"/>
    </xf>
    <xf numFmtId="0" applyNumberFormat="1" fontId="1" applyFont="1" fillId="2" applyFill="1" borderId="3" applyBorder="1" xfId="0" applyProtection="1" applyAlignment="1">
      <alignment horizontal="center" vertical="center"/>
    </xf>
    <xf numFmtId="49" applyNumberFormat="1" fontId="1" applyFont="1" fillId="0" applyFill="1" borderId="38" applyBorder="1" xfId="0" applyProtection="1" applyAlignment="1">
      <alignment horizontal="center" vertical="center" wrapText="1"/>
    </xf>
    <xf numFmtId="0" applyNumberFormat="1" fontId="1" applyFont="1" fillId="4" applyFill="1" borderId="13" applyBorder="1" xfId="0" applyProtection="1" applyAlignment="1">
      <alignment horizontal="center" vertical="center"/>
    </xf>
    <xf numFmtId="0" applyNumberFormat="1" fontId="1" applyFont="1" fillId="0" applyFill="1" borderId="43" applyBorder="1" xfId="0" applyProtection="1" applyAlignment="1">
      <alignment horizontal="center" vertical="center"/>
    </xf>
    <xf numFmtId="0" applyNumberFormat="1" fontId="1" applyFont="1" fillId="0" applyFill="1" borderId="48" applyBorder="1" xfId="0" applyProtection="1" applyAlignment="1">
      <alignment horizontal="center" vertical="center"/>
    </xf>
    <xf numFmtId="0" applyNumberFormat="1" fontId="2" applyFont="1" fillId="4" applyFill="1" borderId="6" applyBorder="1" xfId="0" applyProtection="1" applyAlignment="1">
      <alignment horizontal="center" vertical="center"/>
    </xf>
    <xf numFmtId="0" applyNumberFormat="1" fontId="2" applyFont="1" fillId="4" applyFill="1" borderId="7" applyBorder="1" xfId="0" applyProtection="1" applyAlignment="1">
      <alignment horizontal="center" vertical="center"/>
    </xf>
    <xf numFmtId="0" applyNumberFormat="1" fontId="1" applyFont="1" fillId="4" applyFill="1" borderId="43" applyBorder="1" xfId="0" applyProtection="1" applyAlignment="1">
      <alignment horizontal="center" vertical="center"/>
    </xf>
    <xf numFmtId="0" applyNumberFormat="1" fontId="1" applyFont="1" fillId="4" applyFill="1" borderId="48" applyBorder="1" xfId="0" applyProtection="1" applyAlignment="1">
      <alignment horizontal="center" vertical="center"/>
    </xf>
    <xf numFmtId="0" applyNumberFormat="1" fontId="1" applyFont="1" fillId="4" applyFill="1" borderId="21" applyBorder="1" xfId="0" applyProtection="1" applyAlignment="1">
      <alignment horizontal="center" vertical="center"/>
    </xf>
    <xf numFmtId="0" applyNumberFormat="1" fontId="1" applyFont="1" fillId="4" applyFill="1" borderId="38" applyBorder="1" xfId="0" applyProtection="1" applyAlignment="1">
      <alignment horizontal="center" vertical="center"/>
    </xf>
    <xf numFmtId="0" applyNumberFormat="1" fontId="1" applyFont="1" fillId="4" applyFill="1" borderId="38" applyBorder="1" xfId="0" applyProtection="1" applyAlignment="1">
      <alignment horizontal="center" vertical="center" wrapText="1"/>
    </xf>
    <xf numFmtId="0" applyNumberFormat="1" fontId="1" applyFont="1" fillId="4" applyFill="1" borderId="49" applyBorder="1" xfId="0" applyProtection="1" applyAlignment="1">
      <alignment horizontal="center" vertical="center" wrapText="1"/>
    </xf>
    <xf numFmtId="0" applyNumberFormat="1" fontId="1" applyFont="1" fillId="4" applyFill="1" borderId="2" applyBorder="1" xfId="0" applyProtection="1" applyAlignment="1">
      <alignment horizontal="center" vertical="center" wrapText="1"/>
    </xf>
    <xf numFmtId="0" applyNumberFormat="1" fontId="1" applyFont="1" fillId="4" applyFill="1" borderId="10" applyBorder="1" xfId="0" applyProtection="1" applyAlignment="1">
      <alignment horizontal="center" vertical="center" wrapText="1"/>
    </xf>
    <xf numFmtId="0" applyNumberFormat="1" fontId="1" applyFont="1" fillId="4" applyFill="1" borderId="6" applyBorder="1" xfId="0" applyProtection="1" applyAlignment="1">
      <alignment horizontal="center" vertical="center" wrapText="1"/>
    </xf>
    <xf numFmtId="0" applyNumberFormat="1" fontId="1" applyFont="1" fillId="4" applyFill="1" borderId="7" applyBorder="1" xfId="0" applyProtection="1" applyAlignment="1">
      <alignment horizontal="center" vertical="center"/>
    </xf>
    <xf numFmtId="49" applyNumberFormat="1" fontId="1" applyFont="1" fillId="4" applyFill="1" borderId="2" applyBorder="1" xfId="0" applyProtection="1" applyAlignment="1">
      <alignment horizontal="center" vertical="center"/>
    </xf>
    <xf numFmtId="49" applyNumberFormat="1" fontId="1" applyFont="1" fillId="4" applyFill="1" borderId="10" applyBorder="1" xfId="0" applyProtection="1" applyAlignment="1">
      <alignment horizontal="center" vertical="center"/>
    </xf>
    <xf numFmtId="49" applyNumberFormat="1" fontId="1" applyFont="1" fillId="4" applyFill="1" borderId="6" applyBorder="1" xfId="0" applyProtection="1" applyAlignment="1">
      <alignment horizontal="center" vertical="center" wrapText="1"/>
    </xf>
    <xf numFmtId="0" applyNumberFormat="1" fontId="1" applyFont="1" fillId="4" applyFill="1" borderId="3" applyBorder="1" xfId="0" applyProtection="1"/>
    <xf numFmtId="0" applyNumberFormat="1" fontId="1" applyFont="1" fillId="4" applyFill="1" borderId="11" applyBorder="1" xfId="0" applyProtection="1"/>
    <xf numFmtId="49" applyNumberFormat="1" fontId="1" applyFont="1" fillId="4" applyFill="1" borderId="6" applyBorder="1" xfId="0" applyProtection="1" applyAlignment="1">
      <alignment horizontal="center" vertical="center"/>
    </xf>
    <xf numFmtId="0" applyNumberFormat="1" fontId="1" applyFont="1" fillId="4" applyFill="1" borderId="7" applyBorder="1" xfId="0" applyProtection="1"/>
    <xf numFmtId="0" applyNumberFormat="1" fontId="2" applyFont="1" fillId="0" applyFill="1" borderId="50" applyBorder="1" xfId="0" applyProtection="1" applyAlignment="1">
      <alignment horizontal="center" vertical="center"/>
    </xf>
    <xf numFmtId="0" applyNumberFormat="1" fontId="2" applyFont="1" fillId="0" applyFill="1" borderId="51" applyBorder="1" xfId="0" applyProtection="1" applyAlignment="1">
      <alignment horizontal="center" vertical="center"/>
    </xf>
    <xf numFmtId="0" applyNumberFormat="1" fontId="2" applyFont="1" fillId="0" applyFill="1" borderId="52" applyBorder="1" xfId="0" applyProtection="1" applyAlignment="1">
      <alignment horizontal="center" vertical="center"/>
    </xf>
    <xf numFmtId="0" applyNumberFormat="1" fontId="2" applyFont="1" fillId="0" applyFill="1" borderId="0" applyBorder="1" xfId="0" applyProtection="1" applyAlignment="1">
      <alignment vertical="center" wrapText="1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11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 wrapText="1"/>
    </xf>
    <xf numFmtId="0" applyNumberFormat="1" fontId="1" applyFont="1" fillId="4" applyFill="1" borderId="10" applyBorder="1" xfId="0" applyProtection="1" applyAlignment="1">
      <alignment horizontal="center" vertical="center" wrapText="1"/>
    </xf>
    <xf numFmtId="0" applyNumberFormat="1" fontId="1" applyFont="1" fillId="4" applyFill="1" borderId="6" applyBorder="1" xfId="0" applyProtection="1" applyAlignment="1">
      <alignment horizontal="center" vertical="center" wrapText="1"/>
    </xf>
    <xf numFmtId="0" applyNumberFormat="1" fontId="1" applyFont="1" fillId="0" applyFill="1" borderId="2" applyBorder="1" xfId="0" applyProtection="1" applyAlignment="1">
      <alignment horizontal="center" vertical="center" wrapText="1"/>
    </xf>
    <xf numFmtId="0" applyNumberFormat="1" fontId="1" applyFont="1" fillId="0" applyFill="1" borderId="10" applyBorder="1" xfId="0" applyProtection="1" applyAlignment="1">
      <alignment horizontal="center" vertical="center" wrapText="1"/>
    </xf>
    <xf numFmtId="0" applyNumberFormat="1" fontId="1" applyFont="1" fillId="0" applyFill="1" borderId="6" applyBorder="1" xfId="0" applyProtection="1" applyAlignment="1">
      <alignment horizontal="center" vertical="center" wrapText="1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horizontal="center" vertical="center"/>
    </xf>
    <xf numFmtId="0" applyNumberFormat="1" fontId="1" applyFont="1" fillId="4" applyFill="1" borderId="6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/>
    </xf>
    <xf numFmtId="0" applyNumberFormat="1" fontId="1" applyFont="1" fillId="0" applyFill="1" borderId="39" applyBorder="1" xfId="0" applyProtection="1" applyAlignment="1">
      <alignment horizontal="center" vertical="center"/>
    </xf>
    <xf numFmtId="0" applyNumberFormat="1" fontId="1" applyFont="1" fillId="4" applyFill="1" borderId="38" applyBorder="1" xfId="0" applyProtection="1" applyAlignment="1">
      <alignment horizontal="center" vertical="center"/>
    </xf>
    <xf numFmtId="0" applyNumberFormat="1" fontId="2" applyFont="1" fillId="4" applyFill="1" borderId="6" applyBorder="1" xfId="0" applyProtection="1" applyAlignment="1">
      <alignment horizontal="center" vertical="center" wrapText="1"/>
    </xf>
    <xf numFmtId="0" applyNumberFormat="1" fontId="1" applyFont="1" fillId="4" applyFill="1" borderId="13" applyBorder="1" xfId="0" applyProtection="1" applyAlignment="1">
      <alignment horizontal="center" vertical="center"/>
    </xf>
    <xf numFmtId="0" applyNumberFormat="1" fontId="1" applyFont="1" fillId="0" applyFill="1" borderId="4" applyBorder="1" xfId="0" applyProtection="1" applyAlignment="1">
      <alignment horizontal="center" vertical="center"/>
    </xf>
    <xf numFmtId="0" applyNumberFormat="1" fontId="1" applyFont="1" fillId="0" applyFill="1" borderId="9" applyBorder="1" xfId="0" applyProtection="1" applyAlignment="1">
      <alignment horizontal="center" vertical="center"/>
    </xf>
    <xf numFmtId="49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4" applyFill="1" borderId="21" applyBorder="1" xfId="0" applyProtection="1" applyAlignment="1">
      <alignment horizontal="center" vertical="center"/>
    </xf>
    <xf numFmtId="0" applyNumberFormat="1" fontId="1" applyFont="1" fillId="4" applyFill="1" borderId="3" applyBorder="1" xfId="0" applyProtection="1" applyAlignment="1">
      <alignment horizontal="center" vertical="center"/>
    </xf>
    <xf numFmtId="0" applyNumberFormat="1" fontId="1" applyFont="1" fillId="4" applyFill="1" borderId="11" applyBorder="1" xfId="0" applyProtection="1" applyAlignment="1">
      <alignment horizontal="center" vertical="center"/>
    </xf>
    <xf numFmtId="0" applyNumberFormat="1" fontId="1" applyFont="1" fillId="4" applyFill="1" borderId="7" applyBorder="1" xfId="0" applyProtection="1" applyAlignment="1">
      <alignment horizontal="center" vertical="center"/>
    </xf>
    <xf numFmtId="0" applyNumberFormat="1" fontId="1" applyFont="1" fillId="0" applyFill="1" borderId="21" applyBorder="1" xfId="0" applyProtection="1" applyAlignment="1">
      <alignment horizontal="center" vertical="center"/>
    </xf>
    <xf numFmtId="0" applyNumberFormat="1" fontId="1" applyFont="1" fillId="5" applyFill="1" borderId="10" applyBorder="1" xfId="0" applyProtection="1" applyAlignment="1">
      <alignment horizontal="center" vertical="center"/>
    </xf>
    <xf numFmtId="0" applyNumberFormat="1" fontId="1" applyFont="1" fillId="5" applyFill="1" borderId="11" applyBorder="1" xfId="0" applyProtection="1" applyAlignment="1">
      <alignment horizontal="center" vertical="center"/>
    </xf>
    <xf numFmtId="0" applyNumberFormat="1" fontId="1" applyFont="1" fillId="6" applyFill="1" borderId="10" applyBorder="1" xfId="0" applyProtection="1" applyAlignment="1">
      <alignment horizontal="center" vertical="center"/>
    </xf>
    <xf numFmtId="0" applyNumberFormat="1" fontId="1" applyFont="1" fillId="6" applyFill="1" borderId="11" applyBorder="1" xfId="0" applyProtection="1" applyAlignment="1">
      <alignment horizontal="center" vertical="center"/>
    </xf>
    <xf numFmtId="0" applyNumberFormat="1" fontId="1" applyFont="1" fillId="7" applyFill="1" borderId="6" applyBorder="1" xfId="0" applyProtection="1" applyAlignment="1">
      <alignment horizontal="center" vertical="center"/>
    </xf>
    <xf numFmtId="0" applyNumberFormat="1" fontId="1" applyFont="1" fillId="7" applyFill="1" borderId="7" applyBorder="1" xfId="0" applyProtection="1" applyAlignment="1">
      <alignment horizontal="center" vertical="center"/>
    </xf>
    <xf numFmtId="0" applyNumberFormat="1" fontId="1" applyFont="1" fillId="5" applyFill="1" borderId="48" applyBorder="1" xfId="0" applyProtection="1" applyAlignment="1">
      <alignment horizontal="center" vertical="center"/>
    </xf>
    <xf numFmtId="0" applyNumberFormat="1" fontId="1" applyFont="1" fillId="6" applyFill="1" borderId="48" applyBorder="1" xfId="0" applyProtection="1" applyAlignment="1">
      <alignment horizontal="center" vertical="center"/>
    </xf>
    <xf numFmtId="0" applyNumberFormat="1" fontId="1" applyFont="1" fillId="7" applyFill="1" borderId="21" applyBorder="1" xfId="0" applyProtection="1" applyAlignment="1">
      <alignment horizontal="center" vertical="center"/>
    </xf>
    <xf numFmtId="0" applyNumberFormat="1" fontId="1" applyFont="1" fillId="0" applyFill="1" borderId="43" applyBorder="1" xfId="0" applyProtection="1" applyAlignment="1">
      <alignment horizontal="center" vertical="center"/>
    </xf>
    <xf numFmtId="0" applyNumberFormat="1" fontId="1" applyFont="1" fillId="0" applyFill="1" borderId="8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horizontal="center" vertical="center"/>
    </xf>
    <xf numFmtId="0" applyNumberFormat="1" fontId="1" applyFont="1" fillId="4" applyFill="1" borderId="6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11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4" applyFill="1" borderId="3" applyBorder="1" xfId="0" applyProtection="1" applyAlignment="1">
      <alignment horizontal="center" vertical="center"/>
    </xf>
    <xf numFmtId="0" applyNumberFormat="1" fontId="1" applyFont="1" fillId="4" applyFill="1" borderId="11" applyBorder="1" xfId="0" applyProtection="1" applyAlignment="1">
      <alignment horizontal="center" vertical="center"/>
    </xf>
    <xf numFmtId="49" applyNumberFormat="1" fontId="1" applyFont="1" fillId="0" applyFill="1" borderId="6" applyBorder="1" xfId="0" applyProtection="1" applyAlignment="1">
      <alignment horizontal="center" vertical="center"/>
    </xf>
    <xf numFmtId="0" applyNumberFormat="1" fontId="2" applyFont="1" fillId="4" applyFill="1" borderId="6" applyBorder="1" xfId="0" applyProtection="1" applyAlignment="1">
      <alignment horizontal="center" vertical="center" wrapText="1"/>
    </xf>
    <xf numFmtId="0" applyNumberFormat="1" fontId="1" applyFont="1" fillId="0" applyFill="1" borderId="8" applyBorder="1" xfId="0" applyProtection="1" applyAlignment="1">
      <alignment vertical="center"/>
    </xf>
    <xf numFmtId="0" applyNumberFormat="1" fontId="1" applyFont="1" fillId="0" applyFill="1" borderId="6" applyBorder="1" xfId="0" applyProtection="1" applyAlignment="1">
      <alignment vertical="center"/>
    </xf>
    <xf numFmtId="0" applyNumberFormat="1" fontId="2" applyFont="1" fillId="0" applyFill="1" borderId="54" applyBorder="1" xfId="0" applyProtection="1" applyAlignment="1">
      <alignment horizontal="center" vertical="center"/>
    </xf>
    <xf numFmtId="0" applyNumberFormat="1" fontId="1" applyFont="1" fillId="4" applyFill="1" borderId="21" applyBorder="1" xfId="0" applyProtection="1" applyAlignment="1">
      <alignment horizontal="center" vertical="center" wrapText="1"/>
    </xf>
    <xf numFmtId="0" applyNumberFormat="1" fontId="2" applyFont="1" fillId="0" applyFill="1" borderId="57" applyBorder="1" xfId="0" applyProtection="1" applyAlignment="1">
      <alignment horizontal="center" vertical="center"/>
    </xf>
    <xf numFmtId="0" applyNumberFormat="1" fontId="1" applyFont="1" fillId="4" applyFill="1" borderId="25" applyBorder="1" xfId="0" applyProtection="1" applyAlignment="1">
      <alignment vertical="center" wrapText="1"/>
    </xf>
    <xf numFmtId="0" applyNumberFormat="1" fontId="2" applyFont="1" fillId="0" applyFill="1" borderId="58" applyBorder="1" xfId="0" applyProtection="1" applyAlignment="1">
      <alignment horizontal="center" vertical="center"/>
    </xf>
    <xf numFmtId="0" applyNumberFormat="1" fontId="1" applyFont="1" fillId="2" applyFill="1" borderId="6" applyBorder="1" xfId="0" applyProtection="1" applyAlignment="1">
      <alignment horizontal="center" vertical="center"/>
    </xf>
    <xf numFmtId="0" applyNumberFormat="1" fontId="2" applyFont="1" fillId="0" applyFill="1" borderId="10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 wrapText="1"/>
    </xf>
    <xf numFmtId="0" applyNumberFormat="1" fontId="1" applyFont="1" fillId="4" applyFill="1" borderId="10" applyBorder="1" xfId="0" applyProtection="1" applyAlignment="1">
      <alignment horizontal="center" vertical="center" wrapText="1"/>
    </xf>
    <xf numFmtId="0" applyNumberFormat="1" fontId="1" applyFont="1" fillId="4" applyFill="1" borderId="13" applyBorder="1" xfId="0" applyProtection="1" applyAlignment="1">
      <alignment horizontal="center" vertical="center"/>
    </xf>
    <xf numFmtId="0" applyNumberFormat="1" fontId="1" applyFont="1" fillId="0" applyFill="1" borderId="34" applyBorder="1" xfId="0" applyProtection="1" applyAlignment="1">
      <alignment horizontal="center" vertical="center"/>
    </xf>
    <xf numFmtId="0" applyNumberFormat="1" fontId="1" applyFont="1" fillId="0" applyFill="1" borderId="21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/>
    </xf>
    <xf numFmtId="0" applyNumberFormat="1" fontId="1" applyFont="1" fillId="4" applyFill="1" borderId="3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horizontal="center" vertical="center"/>
    </xf>
    <xf numFmtId="0" applyNumberFormat="1" fontId="1" applyFont="1" fillId="4" applyFill="1" borderId="11" applyBorder="1" xfId="0" applyProtection="1" applyAlignment="1">
      <alignment horizontal="center" vertical="center"/>
    </xf>
    <xf numFmtId="0" applyNumberFormat="1" fontId="1" applyFont="1" fillId="4" applyFill="1" borderId="38" applyBorder="1" xfId="0" applyProtection="1" applyAlignment="1">
      <alignment horizontal="center" vertical="center"/>
    </xf>
    <xf numFmtId="0" applyNumberFormat="1" fontId="1" applyFont="1" fillId="4" applyFill="1" borderId="6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 wrapText="1"/>
    </xf>
    <xf numFmtId="0" applyNumberFormat="1" fontId="1" applyFont="1" fillId="0" applyFill="1" borderId="10" applyBorder="1" xfId="0" applyProtection="1" applyAlignment="1">
      <alignment horizontal="center" vertical="center" wrapText="1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11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2" applyFont="1" fillId="4" applyFill="1" borderId="2" applyBorder="1" xfId="0" applyProtection="1" applyAlignment="1">
      <alignment horizontal="center" vertical="center" wrapText="1"/>
    </xf>
    <xf numFmtId="0" applyNumberFormat="1" fontId="1" applyFont="1" fillId="4" applyFill="1" borderId="13" applyBorder="1" xfId="0" applyProtection="1" applyAlignment="1">
      <alignment horizontal="center" vertical="center" wrapText="1"/>
    </xf>
    <xf numFmtId="0" applyNumberFormat="1" fontId="1" applyFont="1" fillId="0" applyFill="1" borderId="13" applyBorder="1" xfId="0" applyProtection="1" applyAlignment="1">
      <alignment horizontal="center" vertical="center"/>
    </xf>
    <xf numFmtId="0" applyNumberFormat="1" fontId="1" applyFont="1" fillId="0" applyFill="1" borderId="13" applyBorder="1" xfId="0" applyProtection="1" applyAlignment="1">
      <alignment horizontal="center" vertical="center" wrapText="1"/>
    </xf>
    <xf numFmtId="0" applyNumberFormat="1" fontId="1" applyFont="1" fillId="4" applyFill="1" borderId="38" applyBorder="1" xfId="0" applyProtection="1" applyAlignment="1">
      <alignment horizontal="center" vertical="center" wrapText="1"/>
    </xf>
    <xf numFmtId="0" applyNumberFormat="1" fontId="2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4" applyBorder="1" xfId="0" applyProtection="1" applyAlignment="1">
      <alignment horizontal="center" vertical="center"/>
    </xf>
    <xf numFmtId="0" applyNumberFormat="1" fontId="1" applyFont="1" fillId="0" applyFill="1" borderId="9" applyBorder="1" xfId="0" applyProtection="1" applyAlignment="1">
      <alignment horizontal="center" vertical="center"/>
    </xf>
    <xf numFmtId="0" applyNumberFormat="1" fontId="1" applyFont="1" fillId="0" applyFill="1" borderId="8" applyBorder="1" xfId="0" applyProtection="1" applyAlignment="1">
      <alignment horizontal="center" vertical="center"/>
    </xf>
    <xf numFmtId="0" applyNumberFormat="1" fontId="1" applyFont="1" fillId="3" applyFill="1" borderId="2" applyBorder="1" xfId="0" applyProtection="1" applyAlignment="1">
      <alignment horizontal="center" vertical="center"/>
    </xf>
    <xf numFmtId="0" applyNumberFormat="1" fontId="1" applyFont="1" fillId="3" applyFill="1" borderId="10" applyBorder="1" xfId="0" applyProtection="1" applyAlignment="1">
      <alignment horizontal="center" vertical="center"/>
    </xf>
    <xf numFmtId="0" applyNumberFormat="1" fontId="1" applyFont="1" fillId="3" applyFill="1" borderId="6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 wrapText="1"/>
    </xf>
    <xf numFmtId="0" applyNumberFormat="1" fontId="1" applyFont="1" fillId="0" applyFill="1" borderId="25" applyBorder="1" xfId="0" applyProtection="1" applyAlignment="1">
      <alignment horizontal="center" vertical="center" wrapText="1"/>
    </xf>
    <xf numFmtId="0" applyNumberFormat="1" fontId="1" applyFont="1" fillId="3" applyFill="1" borderId="34" applyBorder="1" xfId="0" applyProtection="1" applyAlignment="1">
      <alignment horizontal="center" vertical="center"/>
    </xf>
    <xf numFmtId="0" applyNumberFormat="1" fontId="1" applyFont="1" fillId="3" applyFill="1" borderId="13" applyBorder="1" xfId="0" applyProtection="1" applyAlignment="1">
      <alignment horizontal="center" vertical="center"/>
    </xf>
    <xf numFmtId="0" applyNumberFormat="1" fontId="1" applyFont="1" fillId="3" applyFill="1" borderId="13" applyBorder="1" xfId="0" applyProtection="1" applyAlignment="1">
      <alignment horizontal="center" vertical="center" wrapText="1"/>
    </xf>
    <xf numFmtId="0" applyNumberFormat="1" fontId="2" applyFont="1" fillId="0" applyFill="1" borderId="10" applyBorder="1" xfId="0" applyProtection="1" applyAlignment="1">
      <alignment horizontal="center" vertical="center" wrapText="1"/>
    </xf>
    <xf numFmtId="0" applyNumberFormat="1" fontId="1" applyFont="1" fillId="3" applyFill="1" borderId="13" applyBorder="1" xfId="0" applyProtection="1"/>
    <xf numFmtId="0" applyNumberFormat="1" fontId="2" applyFont="1" fillId="3" applyFill="1" borderId="10" applyBorder="1" xfId="0" applyProtection="1" applyAlignment="1">
      <alignment horizontal="center" vertical="center" wrapText="1"/>
    </xf>
    <xf numFmtId="0" applyNumberFormat="1" fontId="2" applyFont="1" fillId="3" applyFill="1" borderId="10" applyBorder="1" xfId="0" applyProtection="1" applyAlignment="1">
      <alignment horizontal="center" vertical="center"/>
    </xf>
    <xf numFmtId="0" applyNumberFormat="1" fontId="1" applyFont="1" fillId="3" applyFill="1" borderId="10" applyBorder="1" xfId="0" applyProtection="1" applyAlignment="1">
      <alignment horizontal="center" vertical="center" wrapText="1"/>
    </xf>
    <xf numFmtId="0" applyNumberFormat="1" fontId="2" applyFont="1" fillId="3" applyFill="1" borderId="13" applyBorder="1" xfId="0" applyProtection="1" applyAlignment="1">
      <alignment horizontal="center" vertical="center"/>
    </xf>
    <xf numFmtId="0" applyNumberFormat="1" fontId="2" applyFont="1" fillId="3" applyFill="1" borderId="13" applyBorder="1" xfId="0" applyProtection="1" applyAlignment="1">
      <alignment horizontal="center" vertical="center" wrapText="1"/>
    </xf>
    <xf numFmtId="0" applyNumberFormat="1" fontId="2" applyFont="1" fillId="3" applyFill="1" borderId="24" applyBorder="1" xfId="0" applyProtection="1" applyAlignment="1">
      <alignment horizontal="center" vertical="center"/>
    </xf>
    <xf numFmtId="0" applyNumberFormat="1" fontId="2" applyFont="1" fillId="3" applyFill="1" borderId="11" applyBorder="1" xfId="0" applyProtection="1" applyAlignment="1">
      <alignment horizontal="center" vertical="center"/>
    </xf>
    <xf numFmtId="0" applyNumberFormat="1" fontId="1" applyFont="1" fillId="0" applyFill="1" borderId="24" applyBorder="1" xfId="0" applyProtection="1" applyAlignment="1">
      <alignment horizontal="center" vertical="center"/>
    </xf>
    <xf numFmtId="0" applyNumberFormat="1" fontId="2" applyFont="1" fillId="0" applyFill="1" borderId="13" applyBorder="1" xfId="0" applyProtection="1" applyAlignment="1">
      <alignment horizontal="center" vertical="center" wrapText="1"/>
    </xf>
    <xf numFmtId="0" applyNumberFormat="1" fontId="2" applyFont="1" fillId="0" applyFill="1" borderId="13" applyBorder="1" xfId="0" applyProtection="1" applyAlignment="1">
      <alignment horizontal="center" vertical="center"/>
    </xf>
    <xf numFmtId="0" applyNumberFormat="1" fontId="2" applyFont="1" fillId="0" applyFill="1" borderId="24" applyBorder="1" xfId="0" applyProtection="1" applyAlignment="1">
      <alignment horizontal="center" vertical="center"/>
    </xf>
    <xf numFmtId="0" applyNumberFormat="1" fontId="2" applyFont="1" fillId="3" applyFill="1" borderId="2" applyBorder="1" xfId="0" applyProtection="1" applyAlignment="1">
      <alignment horizontal="center" vertical="center" wrapText="1"/>
    </xf>
    <xf numFmtId="0" applyNumberFormat="1" fontId="2" applyFont="1" fillId="3" applyFill="1" borderId="2" applyBorder="1" xfId="0" applyProtection="1" applyAlignment="1">
      <alignment horizontal="center" vertical="center"/>
    </xf>
    <xf numFmtId="0" applyNumberFormat="1" fontId="1" applyFont="1" fillId="3" applyFill="1" borderId="2" applyBorder="1" xfId="0" applyProtection="1" applyAlignment="1">
      <alignment horizontal="center" vertical="center" wrapText="1"/>
    </xf>
    <xf numFmtId="0" applyNumberFormat="1" fontId="2" applyFont="1" fillId="3" applyFill="1" borderId="3" applyBorder="1" xfId="0" applyProtection="1" applyAlignment="1">
      <alignment horizontal="center" vertical="center"/>
    </xf>
    <xf numFmtId="0" applyNumberFormat="1" fontId="1" applyFont="1" fillId="3" applyFill="1" borderId="25" applyBorder="1" xfId="0" applyProtection="1" applyAlignment="1">
      <alignment horizontal="center" vertical="center" wrapText="1"/>
    </xf>
    <xf numFmtId="0" applyNumberFormat="1" fontId="2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vertical="center"/>
    </xf>
    <xf numFmtId="0" applyNumberFormat="1" fontId="1" applyFont="1" fillId="4" applyFill="1" borderId="10" applyBorder="1" xfId="0" applyProtection="1"/>
    <xf numFmtId="0" applyNumberFormat="1" fontId="2" applyFont="1" fillId="0" applyFill="1" borderId="17" applyBorder="1" xfId="0" applyProtection="1" applyAlignment="1">
      <alignment horizontal="center" vertical="center"/>
    </xf>
    <xf numFmtId="0" applyNumberFormat="1" fontId="2" applyFont="1" fillId="4" applyFill="1" borderId="38" applyBorder="1" xfId="0" applyProtection="1" applyAlignment="1">
      <alignment horizontal="center" vertical="center" wrapText="1"/>
    </xf>
    <xf numFmtId="0" applyNumberFormat="1" fontId="2" applyFont="1" fillId="4" applyFill="1" borderId="38" applyBorder="1" xfId="0" applyProtection="1" applyAlignment="1">
      <alignment horizontal="center" vertical="center"/>
    </xf>
    <xf numFmtId="0" applyNumberFormat="1" fontId="2" applyFont="1" fillId="4" applyFill="1" borderId="39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vertical="center"/>
    </xf>
    <xf numFmtId="49" applyNumberFormat="1" fontId="1" applyFont="1" fillId="4" applyFill="1" borderId="38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/>
    <xf numFmtId="0" applyNumberFormat="1" fontId="2" applyFont="1" fillId="4" applyFill="1" borderId="2" applyBorder="1" xfId="0" applyProtection="1" applyAlignment="1">
      <alignment horizontal="center" vertical="center"/>
    </xf>
    <xf numFmtId="0" applyNumberFormat="1" fontId="2" applyFont="1" fillId="4" applyFill="1" borderId="3" applyBorder="1" xfId="0" applyProtection="1" applyAlignment="1">
      <alignment horizontal="center" vertical="center"/>
    </xf>
    <xf numFmtId="0" applyNumberFormat="1" fontId="2" applyFont="1" fillId="4" applyFill="1" borderId="10" applyBorder="1" xfId="0" applyProtection="1" applyAlignment="1">
      <alignment horizontal="center" vertical="center"/>
    </xf>
    <xf numFmtId="0" applyNumberFormat="1" fontId="2" applyFont="1" fillId="4" applyFill="1" borderId="10" applyBorder="1" xfId="0" applyProtection="1" applyAlignment="1">
      <alignment horizontal="center" vertical="center" wrapText="1"/>
    </xf>
    <xf numFmtId="0" applyNumberFormat="1" fontId="2" applyFont="1" fillId="4" applyFill="1" borderId="11" applyBorder="1" xfId="0" applyProtection="1" applyAlignment="1">
      <alignment horizontal="center" vertical="center"/>
    </xf>
    <xf numFmtId="0" applyNumberFormat="1" fontId="2" applyFont="1" fillId="4" applyFill="1" borderId="13" applyBorder="1" xfId="0" applyProtection="1" applyAlignment="1">
      <alignment horizontal="center" vertical="center" wrapText="1"/>
    </xf>
    <xf numFmtId="0" applyNumberFormat="1" fontId="2" applyFont="1" fillId="4" applyFill="1" borderId="13" applyBorder="1" xfId="0" applyProtection="1" applyAlignment="1">
      <alignment horizontal="center" vertical="center"/>
    </xf>
    <xf numFmtId="0" applyNumberFormat="1" fontId="2" applyFont="1" fillId="4" applyFill="1" borderId="24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2" applyFont="1" fillId="0" applyFill="1" borderId="0" applyBorder="1" xfId="0" applyProtection="1" applyAlignment="1">
      <alignment horizontal="center" vertical="center" wrapText="1"/>
    </xf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horizontal="center" vertical="center"/>
    </xf>
    <xf numFmtId="0" applyNumberFormat="1" fontId="1" applyFont="1" fillId="0" applyFill="1" borderId="49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2" applyFont="1" fillId="0" applyFill="1" borderId="50" applyBorder="1" xfId="0" applyProtection="1" applyAlignment="1">
      <alignment horizontal="center" vertical="center"/>
    </xf>
    <xf numFmtId="0" applyNumberFormat="1" fontId="2" applyFont="1" fillId="0" applyFill="1" borderId="52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 wrapText="1"/>
    </xf>
    <xf numFmtId="0" applyNumberFormat="1" fontId="1" applyFont="1" fillId="0" applyFill="1" borderId="6" applyBorder="1" xfId="0" applyProtection="1" applyAlignment="1">
      <alignment horizontal="center" vertical="center" wrapText="1"/>
    </xf>
    <xf numFmtId="0" applyNumberFormat="1" fontId="1" applyFont="1" fillId="0" applyFill="1" borderId="30" applyBorder="1" xfId="0" applyProtection="1" applyAlignment="1">
      <alignment horizontal="center" vertical="center" wrapText="1"/>
    </xf>
    <xf numFmtId="0" applyNumberFormat="1" fontId="1" applyFont="1" fillId="0" applyFill="1" borderId="36" applyBorder="1" xfId="0" applyProtection="1" applyAlignment="1">
      <alignment horizontal="center" vertical="center" wrapText="1"/>
    </xf>
    <xf numFmtId="0" applyNumberFormat="1" fontId="1" applyFont="1" fillId="4" applyFill="1" borderId="30" applyBorder="1" xfId="0" applyProtection="1" applyAlignment="1">
      <alignment horizontal="center" vertical="center"/>
    </xf>
    <xf numFmtId="0" applyNumberFormat="1" fontId="1" applyFont="1" fillId="4" applyFill="1" borderId="34" applyBorder="1" xfId="0" applyProtection="1" applyAlignment="1">
      <alignment horizontal="center" vertical="center"/>
    </xf>
    <xf numFmtId="0" applyNumberFormat="1" fontId="1" applyFont="1" fillId="4" applyFill="1" borderId="36" applyBorder="1" xfId="0" applyProtection="1" applyAlignment="1">
      <alignment horizontal="center" vertical="center"/>
    </xf>
    <xf numFmtId="0" applyNumberFormat="1" fontId="1" applyFont="1" fillId="4" applyFill="1" borderId="37" applyBorder="1" xfId="0" applyProtection="1" applyAlignment="1">
      <alignment horizontal="center" vertical="center"/>
    </xf>
    <xf numFmtId="0" applyNumberFormat="1" fontId="1" applyFont="1" fillId="4" applyFill="1" borderId="31" applyBorder="1" xfId="0" applyProtection="1" applyAlignment="1">
      <alignment horizontal="center" vertical="center"/>
    </xf>
    <xf numFmtId="0" applyNumberFormat="1" fontId="1" applyFont="1" fillId="4" applyFill="1" borderId="32" applyBorder="1" xfId="0" applyProtection="1" applyAlignment="1">
      <alignment horizontal="center" vertical="center"/>
    </xf>
    <xf numFmtId="0" applyNumberFormat="1" fontId="1" applyFont="1" fillId="4" applyFill="1" borderId="14" applyBorder="1" xfId="0" applyProtection="1" applyAlignment="1">
      <alignment horizontal="center" vertical="center"/>
    </xf>
    <xf numFmtId="0" applyNumberFormat="1" fontId="1" applyFont="1" fillId="4" applyFill="1" borderId="0" applyBorder="1" xfId="0" applyProtection="1" applyAlignment="1">
      <alignment horizontal="center" vertical="center"/>
    </xf>
    <xf numFmtId="0" applyNumberFormat="1" fontId="1" applyFont="1" fillId="4" applyFill="1" borderId="15" applyBorder="1" xfId="0" applyProtection="1" applyAlignment="1">
      <alignment horizontal="center" vertical="center"/>
    </xf>
    <xf numFmtId="0" applyNumberFormat="1" fontId="1" applyFont="1" fillId="4" applyFill="1" borderId="18" applyBorder="1" xfId="0" applyProtection="1" applyAlignment="1">
      <alignment horizontal="center" vertical="center"/>
    </xf>
    <xf numFmtId="0" applyNumberFormat="1" fontId="1" applyFont="1" fillId="4" applyFill="1" borderId="19" applyBorder="1" xfId="0" applyProtection="1" applyAlignment="1">
      <alignment horizontal="center" vertical="center"/>
    </xf>
    <xf numFmtId="0" applyNumberFormat="1" fontId="1" applyFont="1" fillId="4" applyFill="1" borderId="20" applyBorder="1" xfId="0" applyProtection="1" applyAlignment="1">
      <alignment horizontal="center" vertical="center"/>
    </xf>
    <xf numFmtId="49" applyNumberFormat="1" fontId="1" applyFont="1" fillId="0" applyFill="1" borderId="21" applyBorder="1" xfId="0" applyProtection="1" applyAlignment="1">
      <alignment horizontal="center" vertical="center"/>
    </xf>
    <xf numFmtId="49" applyNumberFormat="1" fontId="1" applyFont="1" fillId="0" applyFill="1" borderId="22" applyBorder="1" xfId="0" applyProtection="1" applyAlignment="1">
      <alignment horizontal="center" vertical="center"/>
    </xf>
    <xf numFmtId="49" applyNumberFormat="1" fontId="1" applyFont="1" fillId="0" applyFill="1" borderId="23" applyBorder="1" xfId="0" applyProtection="1" applyAlignment="1">
      <alignment horizontal="center" vertical="center"/>
    </xf>
    <xf numFmtId="49" applyNumberFormat="1" fontId="1" applyFont="1" fillId="4" applyFill="1" borderId="37" applyBorder="1" xfId="0" applyProtection="1" applyAlignment="1">
      <alignment horizontal="center" vertical="center"/>
    </xf>
    <xf numFmtId="49" applyNumberFormat="1" fontId="1" applyFont="1" fillId="4" applyFill="1" borderId="14" applyBorder="1" xfId="0" applyProtection="1" applyAlignment="1">
      <alignment horizontal="center" vertical="center"/>
    </xf>
    <xf numFmtId="49" applyNumberFormat="1" fontId="1" applyFont="1" fillId="4" applyFill="1" borderId="18" applyBorder="1" xfId="0" applyProtection="1" applyAlignment="1">
      <alignment horizontal="center" vertical="center"/>
    </xf>
    <xf numFmtId="49" applyNumberFormat="1" fontId="1" applyFont="1" fillId="4" applyFill="1" borderId="21" applyBorder="1" xfId="0" applyProtection="1" applyAlignment="1">
      <alignment horizontal="center" vertical="center"/>
    </xf>
    <xf numFmtId="49" applyNumberFormat="1" fontId="1" applyFont="1" fillId="4" applyFill="1" borderId="22" applyBorder="1" xfId="0" applyProtection="1" applyAlignment="1">
      <alignment horizontal="center" vertical="center"/>
    </xf>
    <xf numFmtId="49" applyNumberFormat="1" fontId="1" applyFont="1" fillId="4" applyFill="1" borderId="23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 wrapText="1"/>
    </xf>
    <xf numFmtId="0" applyNumberFormat="1" fontId="1" applyFont="1" fillId="4" applyFill="1" borderId="10" applyBorder="1" xfId="0" applyProtection="1" applyAlignment="1">
      <alignment horizontal="center" vertical="center" wrapText="1"/>
    </xf>
    <xf numFmtId="0" applyNumberFormat="1" fontId="1" applyFont="1" fillId="4" applyFill="1" borderId="6" applyBorder="1" xfId="0" applyProtection="1" applyAlignment="1">
      <alignment horizontal="center" vertical="center" wrapText="1"/>
    </xf>
    <xf numFmtId="0" applyNumberFormat="1" fontId="1" applyFont="1" fillId="4" applyFill="1" borderId="30" applyBorder="1" xfId="0" applyProtection="1" applyAlignment="1">
      <alignment horizontal="center" vertical="center" wrapText="1"/>
    </xf>
    <xf numFmtId="0" applyNumberFormat="1" fontId="1" applyFont="1" fillId="4" applyFill="1" borderId="34" applyBorder="1" xfId="0" applyProtection="1" applyAlignment="1">
      <alignment horizontal="center" vertical="center" wrapText="1"/>
    </xf>
    <xf numFmtId="0" applyNumberFormat="1" fontId="1" applyFont="1" fillId="4" applyFill="1" borderId="36" applyBorder="1" xfId="0" applyProtection="1" applyAlignment="1">
      <alignment horizontal="center" vertical="center" wrapText="1"/>
    </xf>
    <xf numFmtId="0" applyNumberFormat="1" fontId="1" applyFont="1" fillId="4" applyFill="1" borderId="40" applyBorder="1" xfId="0" applyProtection="1" applyAlignment="1">
      <alignment horizontal="center" vertical="center"/>
    </xf>
    <xf numFmtId="0" applyNumberFormat="1" fontId="1" applyFont="1" fillId="4" applyFill="1" borderId="25" applyBorder="1" xfId="0" applyProtection="1" applyAlignment="1">
      <alignment horizontal="center" vertical="center"/>
    </xf>
    <xf numFmtId="0" applyNumberFormat="1" fontId="1" applyFont="1" fillId="4" applyFill="1" borderId="41" applyBorder="1" xfId="0" applyProtection="1" applyAlignment="1">
      <alignment horizontal="center" vertical="center"/>
    </xf>
    <xf numFmtId="0" applyNumberFormat="1" fontId="1" applyFont="1" fillId="4" applyFill="1" borderId="13" applyBorder="1" xfId="0" applyProtection="1" applyAlignment="1">
      <alignment horizontal="center" vertical="center"/>
    </xf>
    <xf numFmtId="49" applyNumberFormat="1" fontId="1" applyFont="1" fillId="4" applyFill="1" borderId="19" applyBorder="1" xfId="0" applyProtection="1" applyAlignment="1">
      <alignment horizontal="center" vertical="center"/>
    </xf>
    <xf numFmtId="49" applyNumberFormat="1" fontId="1" applyFont="1" fillId="4" applyFill="1" borderId="20" applyBorder="1" xfId="0" applyProtection="1" applyAlignment="1">
      <alignment horizontal="center" vertical="center"/>
    </xf>
    <xf numFmtId="49" applyNumberFormat="1" fontId="1" applyFont="1" fillId="4" applyFill="1" borderId="31" applyBorder="1" xfId="0" applyProtection="1" applyAlignment="1">
      <alignment horizontal="center" vertical="center"/>
    </xf>
    <xf numFmtId="49" applyNumberFormat="1" fontId="1" applyFont="1" fillId="4" applyFill="1" borderId="40" applyBorder="1" xfId="0" applyProtection="1" applyAlignment="1">
      <alignment horizontal="center" vertical="center"/>
    </xf>
    <xf numFmtId="49" applyNumberFormat="1" fontId="1" applyFont="1" fillId="4" applyFill="1" borderId="0" applyBorder="1" xfId="0" applyProtection="1" applyAlignment="1">
      <alignment horizontal="center" vertical="center"/>
    </xf>
    <xf numFmtId="49" applyNumberFormat="1" fontId="1" applyFont="1" fillId="4" applyFill="1" borderId="25" applyBorder="1" xfId="0" applyProtection="1" applyAlignment="1">
      <alignment horizontal="center" vertical="center"/>
    </xf>
    <xf numFmtId="49" applyNumberFormat="1" fontId="1" applyFont="1" fillId="4" applyFill="1" borderId="41" applyBorder="1" xfId="0" applyProtection="1" applyAlignment="1">
      <alignment horizontal="center" vertical="center"/>
    </xf>
    <xf numFmtId="0" applyNumberFormat="1" fontId="1" applyFont="1" fillId="0" applyFill="1" borderId="30" applyBorder="1" xfId="0" applyProtection="1" applyAlignment="1">
      <alignment horizontal="center" vertical="center"/>
    </xf>
    <xf numFmtId="0" applyNumberFormat="1" fontId="1" applyFont="1" fillId="0" applyFill="1" borderId="36" applyBorder="1" xfId="0" applyProtection="1" applyAlignment="1">
      <alignment horizontal="center" vertical="center"/>
    </xf>
    <xf numFmtId="0" applyNumberFormat="1" fontId="1" applyFont="1" fillId="0" applyFill="1" borderId="37" applyBorder="1" xfId="0" applyProtection="1" applyAlignment="1">
      <alignment horizontal="center" vertical="center"/>
    </xf>
    <xf numFmtId="0" applyNumberFormat="1" fontId="1" applyFont="1" fillId="0" applyFill="1" borderId="31" applyBorder="1" xfId="0" applyProtection="1" applyAlignment="1">
      <alignment horizontal="center" vertical="center"/>
    </xf>
    <xf numFmtId="0" applyNumberFormat="1" fontId="1" applyFont="1" fillId="0" applyFill="1" borderId="32" applyBorder="1" xfId="0" applyProtection="1" applyAlignment="1">
      <alignment horizontal="center" vertical="center"/>
    </xf>
    <xf numFmtId="0" applyNumberFormat="1" fontId="1" applyFont="1" fillId="0" applyFill="1" borderId="14" applyBorder="1" xfId="0" applyProtection="1" applyAlignment="1">
      <alignment horizontal="center" vertical="center"/>
    </xf>
    <xf numFmtId="0" applyNumberFormat="1" fontId="1" applyFont="1" fillId="0" applyFill="1" borderId="0" applyBorder="1" xfId="0" applyProtection="1" applyAlignment="1">
      <alignment horizontal="center" vertical="center"/>
    </xf>
    <xf numFmtId="0" applyNumberFormat="1" fontId="1" applyFont="1" fillId="0" applyFill="1" borderId="15" applyBorder="1" xfId="0" applyProtection="1" applyAlignment="1">
      <alignment horizontal="center" vertical="center"/>
    </xf>
    <xf numFmtId="0" applyNumberFormat="1" fontId="1" applyFont="1" fillId="0" applyFill="1" borderId="18" applyBorder="1" xfId="0" applyProtection="1" applyAlignment="1">
      <alignment horizontal="center" vertical="center"/>
    </xf>
    <xf numFmtId="0" applyNumberFormat="1" fontId="1" applyFont="1" fillId="0" applyFill="1" borderId="19" applyBorder="1" xfId="0" applyProtection="1" applyAlignment="1">
      <alignment horizontal="center" vertical="center"/>
    </xf>
    <xf numFmtId="0" applyNumberFormat="1" fontId="1" applyFont="1" fillId="0" applyFill="1" borderId="20" applyBorder="1" xfId="0" applyProtection="1" applyAlignment="1">
      <alignment horizontal="center" vertical="center"/>
    </xf>
    <xf numFmtId="0" applyNumberFormat="1" fontId="1" applyFont="1" fillId="0" applyFill="1" borderId="40" applyBorder="1" xfId="0" applyProtection="1" applyAlignment="1">
      <alignment horizontal="center" vertical="center"/>
    </xf>
    <xf numFmtId="0" applyNumberFormat="1" fontId="1" applyFont="1" fillId="0" applyFill="1" borderId="25" applyBorder="1" xfId="0" applyProtection="1" applyAlignment="1">
      <alignment horizontal="center" vertical="center"/>
    </xf>
    <xf numFmtId="0" applyNumberFormat="1" fontId="1" applyFont="1" fillId="0" applyFill="1" borderId="41" applyBorder="1" xfId="0" applyProtection="1" applyAlignment="1">
      <alignment horizontal="center" vertical="center"/>
    </xf>
    <xf numFmtId="0" applyNumberFormat="1" fontId="1" applyFont="1" fillId="0" applyFill="1" borderId="34" applyBorder="1" xfId="0" applyProtection="1" applyAlignment="1">
      <alignment horizontal="center" vertical="center"/>
    </xf>
    <xf numFmtId="0" applyNumberFormat="1" fontId="1" applyFont="1" fillId="0" applyFill="1" borderId="21" applyBorder="1" xfId="0" applyProtection="1" applyAlignment="1">
      <alignment horizontal="center" vertical="center"/>
    </xf>
    <xf numFmtId="0" applyNumberFormat="1" fontId="1" applyFont="1" fillId="0" applyFill="1" borderId="22" applyBorder="1" xfId="0" applyProtection="1" applyAlignment="1">
      <alignment horizontal="center" vertical="center"/>
    </xf>
    <xf numFmtId="0" applyNumberFormat="1" fontId="1" applyFont="1" fillId="0" applyFill="1" borderId="23" applyBorder="1" xfId="0" applyProtection="1" applyAlignment="1">
      <alignment horizontal="center" vertical="center"/>
    </xf>
    <xf numFmtId="0" applyNumberFormat="1" fontId="2" applyFont="1" fillId="0" applyFill="1" borderId="4" applyBorder="1" xfId="0" applyProtection="1" applyAlignment="1">
      <alignment horizontal="center" vertical="center"/>
    </xf>
    <xf numFmtId="0" applyNumberFormat="1" fontId="2" applyFont="1" fillId="0" applyFill="1" borderId="8" applyBorder="1" xfId="0" applyProtection="1" applyAlignment="1">
      <alignment horizontal="center" vertical="center"/>
    </xf>
    <xf numFmtId="0" applyNumberFormat="1" fontId="1" applyFont="1" fillId="0" applyFill="1" borderId="29" applyBorder="1" xfId="0" applyProtection="1" applyAlignment="1">
      <alignment horizontal="center" vertical="center"/>
    </xf>
    <xf numFmtId="0" applyNumberFormat="1" fontId="1" applyFont="1" fillId="0" applyFill="1" borderId="33" applyBorder="1" xfId="0" applyProtection="1" applyAlignment="1">
      <alignment horizontal="center" vertical="center"/>
    </xf>
    <xf numFmtId="0" applyNumberFormat="1" fontId="1" applyFont="1" fillId="0" applyFill="1" borderId="35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 wrapText="1"/>
    </xf>
    <xf numFmtId="49" applyNumberFormat="1" fontId="1" applyFont="1" fillId="0" applyFill="1" borderId="42" applyBorder="1" xfId="0" applyProtection="1" applyAlignment="1">
      <alignment horizontal="center" vertical="center"/>
    </xf>
    <xf numFmtId="49" applyNumberFormat="1" fontId="1" applyFont="1" fillId="0" applyFill="1" borderId="37" applyBorder="1" xfId="0" applyProtection="1" applyAlignment="1">
      <alignment horizontal="center" vertical="center"/>
    </xf>
    <xf numFmtId="49" applyNumberFormat="1" fontId="1" applyFont="1" fillId="0" applyFill="1" borderId="31" applyBorder="1" xfId="0" applyProtection="1" applyAlignment="1">
      <alignment horizontal="center" vertical="center"/>
    </xf>
    <xf numFmtId="49" applyNumberFormat="1" fontId="1" applyFont="1" fillId="0" applyFill="1" borderId="40" applyBorder="1" xfId="0" applyProtection="1" applyAlignment="1">
      <alignment horizontal="center" vertical="center"/>
    </xf>
    <xf numFmtId="49" applyNumberFormat="1" fontId="1" applyFont="1" fillId="0" applyFill="1" borderId="14" applyBorder="1" xfId="0" applyProtection="1" applyAlignment="1">
      <alignment horizontal="center" vertical="center"/>
    </xf>
    <xf numFmtId="49" applyNumberFormat="1" fontId="1" applyFont="1" fillId="0" applyFill="1" borderId="0" applyBorder="1" xfId="0" applyProtection="1" applyAlignment="1">
      <alignment horizontal="center" vertical="center"/>
    </xf>
    <xf numFmtId="49" applyNumberFormat="1" fontId="1" applyFont="1" fillId="0" applyFill="1" borderId="25" applyBorder="1" xfId="0" applyProtection="1" applyAlignment="1">
      <alignment horizontal="center" vertical="center"/>
    </xf>
    <xf numFmtId="49" applyNumberFormat="1" fontId="1" applyFont="1" fillId="0" applyFill="1" borderId="18" applyBorder="1" xfId="0" applyProtection="1" applyAlignment="1">
      <alignment horizontal="center" vertical="center"/>
    </xf>
    <xf numFmtId="49" applyNumberFormat="1" fontId="1" applyFont="1" fillId="0" applyFill="1" borderId="19" applyBorder="1" xfId="0" applyProtection="1" applyAlignment="1">
      <alignment horizontal="center" vertical="center"/>
    </xf>
    <xf numFmtId="49" applyNumberFormat="1" fontId="1" applyFont="1" fillId="0" applyFill="1" borderId="41" applyBorder="1" xfId="0" applyProtection="1" applyAlignment="1">
      <alignment horizontal="center" vertical="center"/>
    </xf>
    <xf numFmtId="0" applyNumberFormat="1" fontId="1" applyFont="1" fillId="0" applyFill="1" borderId="34" applyBorder="1" xfId="0" applyProtection="1" applyAlignment="1">
      <alignment horizontal="center" vertical="center" wrapText="1"/>
    </xf>
    <xf numFmtId="0" applyNumberFormat="1" fontId="2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2" applyBorder="1" xfId="0" applyProtection="1" applyAlignment="1">
      <alignment horizontal="center" vertical="center"/>
    </xf>
    <xf numFmtId="0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/>
    </xf>
    <xf numFmtId="0" applyNumberFormat="1" fontId="1" applyFont="1" fillId="0" applyFill="1" borderId="6" applyBorder="1" xfId="0" applyProtection="1" applyAlignment="1">
      <alignment horizontal="center" vertical="center"/>
    </xf>
    <xf numFmtId="0" applyNumberFormat="1" fontId="1" applyFont="1" fillId="0" applyFill="1" borderId="38" applyBorder="1" xfId="0" applyProtection="1" applyAlignment="1">
      <alignment horizontal="center" vertical="center" wrapText="1"/>
    </xf>
    <xf numFmtId="0" applyNumberFormat="1" fontId="1" applyFont="1" fillId="0" applyFill="1" borderId="3" applyBorder="1" xfId="0" applyProtection="1" applyAlignment="1">
      <alignment horizontal="center" vertical="center"/>
    </xf>
    <xf numFmtId="0" applyNumberFormat="1" fontId="1" applyFont="1" fillId="0" applyFill="1" borderId="11" applyBorder="1" xfId="0" applyProtection="1" applyAlignment="1">
      <alignment horizontal="center" vertical="center"/>
    </xf>
    <xf numFmtId="0" applyNumberFormat="1" fontId="1" applyFont="1" fillId="0" applyFill="1" borderId="39" applyBorder="1" xfId="0" applyProtection="1" applyAlignment="1">
      <alignment horizontal="center" vertical="center"/>
    </xf>
    <xf numFmtId="0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4" applyFill="1" borderId="2" applyBorder="1" xfId="0" applyProtection="1" applyAlignment="1">
      <alignment horizontal="center" vertical="center"/>
    </xf>
    <xf numFmtId="0" applyNumberFormat="1" fontId="1" applyFont="1" fillId="4" applyFill="1" borderId="10" applyBorder="1" xfId="0" applyProtection="1" applyAlignment="1">
      <alignment horizontal="center" vertical="center"/>
    </xf>
    <xf numFmtId="0" applyNumberFormat="1" fontId="1" applyFont="1" fillId="4" applyFill="1" borderId="6" applyBorder="1" xfId="0" applyProtection="1" applyAlignment="1">
      <alignment horizontal="center" vertical="center"/>
    </xf>
    <xf numFmtId="0" applyNumberFormat="1" fontId="1" applyFont="1" fillId="4" applyFill="1" borderId="3" applyBorder="1" xfId="0" applyProtection="1" applyAlignment="1">
      <alignment horizontal="center" vertical="center"/>
    </xf>
    <xf numFmtId="0" applyNumberFormat="1" fontId="1" applyFont="1" fillId="4" applyFill="1" borderId="11" applyBorder="1" xfId="0" applyProtection="1" applyAlignment="1">
      <alignment horizontal="center" vertical="center"/>
    </xf>
    <xf numFmtId="0" applyNumberFormat="1" fontId="1" applyFont="1" fillId="4" applyFill="1" borderId="7" applyBorder="1" xfId="0" applyProtection="1" applyAlignment="1">
      <alignment horizontal="center" vertical="center"/>
    </xf>
    <xf numFmtId="0" applyNumberFormat="1" fontId="1" applyFont="1" fillId="4" applyFill="1" borderId="38" applyBorder="1" xfId="0" applyProtection="1" applyAlignment="1">
      <alignment horizontal="center" vertical="center"/>
    </xf>
    <xf numFmtId="0" applyNumberFormat="1" fontId="1" applyFont="1" fillId="4" applyFill="1" borderId="38" applyBorder="1" xfId="0" applyProtection="1" applyAlignment="1">
      <alignment horizontal="center" vertical="center" wrapText="1"/>
    </xf>
    <xf numFmtId="0" applyNumberFormat="1" fontId="1" applyFont="1" fillId="4" applyFill="1" borderId="39" applyBorder="1" xfId="0" applyProtection="1" applyAlignment="1">
      <alignment horizontal="center" vertical="center"/>
    </xf>
    <xf numFmtId="49" applyNumberFormat="1" fontId="1" applyFont="1" fillId="0" applyFill="1" borderId="6" applyBorder="1" xfId="0" applyProtection="1" applyAlignment="1">
      <alignment horizontal="center" vertical="center"/>
    </xf>
    <xf numFmtId="49" applyNumberFormat="1" fontId="1" applyFont="1" fillId="0" applyFill="1" borderId="7" applyBorder="1" xfId="0" applyProtection="1" applyAlignment="1">
      <alignment horizontal="center" vertical="center"/>
    </xf>
    <xf numFmtId="0" applyNumberFormat="1" fontId="1" applyFont="1" fillId="0" applyFill="1" borderId="13" applyBorder="1" xfId="0" applyProtection="1" applyAlignment="1">
      <alignment horizontal="center" vertical="center"/>
    </xf>
    <xf numFmtId="0" applyNumberFormat="1" fontId="1" applyFont="1" fillId="0" applyFill="1" borderId="13" applyBorder="1" xfId="0" applyProtection="1" applyAlignment="1">
      <alignment horizontal="center" vertical="center" wrapText="1"/>
    </xf>
    <xf numFmtId="0" applyNumberFormat="1" fontId="2" applyFont="1" fillId="0" applyFill="1" borderId="1" applyBorder="1" xfId="0" applyProtection="1" applyAlignment="1">
      <alignment horizontal="center" vertical="center" wrapText="1"/>
    </xf>
    <xf numFmtId="0" applyNumberFormat="1" fontId="2" applyFont="1" fillId="0" applyFill="1" borderId="31" applyBorder="1" xfId="0" applyProtection="1" applyAlignment="1">
      <alignment horizontal="center" vertical="center" wrapText="1"/>
    </xf>
    <xf numFmtId="0" applyNumberFormat="1" fontId="2" applyFont="1" fillId="0" applyFill="1" borderId="32" applyBorder="1" xfId="0" applyProtection="1" applyAlignment="1">
      <alignment horizontal="center" vertical="center" wrapText="1"/>
    </xf>
    <xf numFmtId="0" applyNumberFormat="1" fontId="2" applyFont="1" fillId="0" applyFill="1" borderId="5" applyBorder="1" xfId="0" applyProtection="1" applyAlignment="1">
      <alignment horizontal="center" vertical="center" wrapText="1"/>
    </xf>
    <xf numFmtId="0" applyNumberFormat="1" fontId="2" applyFont="1" fillId="0" applyFill="1" borderId="19" applyBorder="1" xfId="0" applyProtection="1" applyAlignment="1">
      <alignment horizontal="center" vertical="center" wrapText="1"/>
    </xf>
    <xf numFmtId="0" applyNumberFormat="1" fontId="2" applyFont="1" fillId="0" applyFill="1" borderId="20" applyBorder="1" xfId="0" applyProtection="1" applyAlignment="1">
      <alignment horizontal="center" vertical="center" wrapText="1"/>
    </xf>
    <xf numFmtId="0" applyNumberFormat="1" fontId="1" applyFont="1" fillId="4" applyFill="1" borderId="13" applyBorder="1" xfId="0" applyProtection="1" applyAlignment="1">
      <alignment horizontal="center" vertical="center" wrapText="1"/>
    </xf>
    <xf numFmtId="0" applyNumberFormat="1" fontId="2" applyFont="1" fillId="4" applyFill="1" borderId="2" applyBorder="1" xfId="0" applyProtection="1" applyAlignment="1">
      <alignment horizontal="center" vertical="center" wrapText="1"/>
    </xf>
    <xf numFmtId="0" applyNumberFormat="1" fontId="2" applyFont="1" fillId="4" applyFill="1" borderId="6" applyBorder="1" xfId="0" applyProtection="1" applyAlignment="1">
      <alignment horizontal="center" vertical="center" wrapText="1"/>
    </xf>
    <xf numFmtId="0" applyNumberFormat="1" fontId="2" applyFont="1" fillId="4" applyFill="1" borderId="3" applyBorder="1" xfId="0" applyProtection="1" applyAlignment="1">
      <alignment horizontal="center" vertical="center" wrapText="1"/>
    </xf>
    <xf numFmtId="0" applyNumberFormat="1" fontId="1" applyFont="1" fillId="4" applyFill="1" borderId="25" applyBorder="1" xfId="0" applyProtection="1" applyAlignment="1">
      <alignment horizontal="center" vertical="center" wrapText="1"/>
    </xf>
    <xf numFmtId="0" applyNumberFormat="1" fontId="1" applyFont="1" fillId="4" applyFill="1" borderId="41" applyBorder="1" xfId="0" applyProtection="1" applyAlignment="1">
      <alignment horizontal="center" vertical="center" wrapText="1"/>
    </xf>
    <xf numFmtId="0" applyNumberFormat="1" fontId="1" applyFont="1" fillId="4" applyFill="1" borderId="21" applyBorder="1" xfId="0" applyProtection="1" applyAlignment="1">
      <alignment horizontal="center" vertical="center"/>
    </xf>
    <xf numFmtId="0" applyNumberFormat="1" fontId="1" applyFont="1" fillId="4" applyFill="1" borderId="22" applyBorder="1" xfId="0" applyProtection="1" applyAlignment="1">
      <alignment horizontal="center" vertical="center"/>
    </xf>
    <xf numFmtId="0" applyNumberFormat="1" fontId="1" applyFont="1" fillId="4" applyFill="1" borderId="23" applyBorder="1" xfId="0" applyProtection="1" applyAlignment="1">
      <alignment horizontal="center" vertical="center"/>
    </xf>
    <xf numFmtId="0" applyNumberFormat="1" fontId="1" applyFont="1" fillId="4" applyFill="1" borderId="26" applyBorder="1" xfId="0" applyProtection="1" applyAlignment="1">
      <alignment horizontal="center" vertical="center"/>
    </xf>
    <xf numFmtId="0" applyNumberFormat="1" fontId="1" applyFont="1" fillId="4" applyFill="1" borderId="27" applyBorder="1" xfId="0" applyProtection="1" applyAlignment="1">
      <alignment horizontal="center" vertical="center"/>
    </xf>
    <xf numFmtId="0" applyNumberFormat="1" fontId="1" applyFont="1" fillId="4" applyFill="1" borderId="28" applyBorder="1" xfId="0" applyProtection="1" applyAlignment="1">
      <alignment horizontal="center" vertical="center"/>
    </xf>
    <xf numFmtId="0" applyNumberFormat="1" fontId="1" applyFont="1" fillId="2" applyFill="1" borderId="29" applyBorder="1" xfId="0" applyProtection="1" applyAlignment="1">
      <alignment horizontal="center" vertical="center"/>
    </xf>
    <xf numFmtId="0" applyNumberFormat="1" fontId="1" applyFont="1" fillId="2" applyFill="1" borderId="33" applyBorder="1" xfId="0" applyProtection="1" applyAlignment="1">
      <alignment horizontal="center" vertical="center"/>
    </xf>
    <xf numFmtId="0" applyNumberFormat="1" fontId="1" applyFont="1" fillId="2" applyFill="1" borderId="35" applyBorder="1" xfId="0" applyProtection="1" applyAlignment="1">
      <alignment horizontal="center" vertical="center"/>
    </xf>
    <xf numFmtId="0" applyNumberFormat="1" fontId="1" applyFont="1" fillId="2" applyFill="1" borderId="29" applyBorder="1" xfId="0" applyProtection="1" applyAlignment="1">
      <alignment horizontal="center" vertical="center" wrapText="1"/>
    </xf>
    <xf numFmtId="0" applyNumberFormat="1" fontId="1" applyFont="1" fillId="2" applyFill="1" borderId="33" applyBorder="1" xfId="0" applyProtection="1" applyAlignment="1">
      <alignment horizontal="center" vertical="center" wrapText="1"/>
    </xf>
    <xf numFmtId="0" applyNumberFormat="1" fontId="1" applyFont="1" fillId="2" applyFill="1" borderId="2" applyBorder="1" xfId="0" applyProtection="1" applyAlignment="1">
      <alignment horizontal="center" vertical="center" wrapText="1"/>
    </xf>
    <xf numFmtId="0" applyNumberFormat="1" fontId="1" applyFont="1" fillId="2" applyFill="1" borderId="10" applyBorder="1" xfId="0" applyProtection="1" applyAlignment="1">
      <alignment horizontal="center" vertical="center" wrapText="1"/>
    </xf>
    <xf numFmtId="0" applyNumberFormat="1" fontId="1" applyFont="1" fillId="2" applyFill="1" borderId="6" applyBorder="1" xfId="0" applyProtection="1" applyAlignment="1">
      <alignment horizontal="center" vertical="center" wrapText="1"/>
    </xf>
    <xf numFmtId="0" applyNumberFormat="1" fontId="1" applyFont="1" fillId="2" applyFill="1" borderId="30" applyBorder="1" xfId="0" applyProtection="1" applyAlignment="1">
      <alignment horizontal="center" vertical="center"/>
    </xf>
    <xf numFmtId="0" applyNumberFormat="1" fontId="1" applyFont="1" fillId="2" applyFill="1" borderId="34" applyBorder="1" xfId="0" applyProtection="1" applyAlignment="1">
      <alignment horizontal="center" vertical="center"/>
    </xf>
    <xf numFmtId="0" applyNumberFormat="1" fontId="1" applyFont="1" fillId="2" applyFill="1" borderId="36" applyBorder="1" xfId="0" applyProtection="1" applyAlignment="1">
      <alignment horizontal="center" vertical="center"/>
    </xf>
    <xf numFmtId="0" applyNumberFormat="1" fontId="1" applyFont="1" fillId="2" applyFill="1" borderId="13" applyBorder="1" xfId="0" applyProtection="1" applyAlignment="1">
      <alignment horizontal="center" vertical="center"/>
    </xf>
    <xf numFmtId="0" applyNumberFormat="1" fontId="1" applyFont="1" fillId="2" applyFill="1" borderId="18" applyBorder="1" xfId="0" applyProtection="1" applyAlignment="1">
      <alignment horizontal="center" vertical="center"/>
    </xf>
    <xf numFmtId="0" applyNumberFormat="1" fontId="1" applyFont="1" fillId="2" applyFill="1" borderId="19" applyBorder="1" xfId="0" applyProtection="1" applyAlignment="1">
      <alignment horizontal="center" vertical="center"/>
    </xf>
    <xf numFmtId="0" applyNumberFormat="1" fontId="1" applyFont="1" fillId="2" applyFill="1" borderId="20" applyBorder="1" xfId="0" applyProtection="1" applyAlignment="1">
      <alignment horizontal="center" vertical="center"/>
    </xf>
    <xf numFmtId="0" applyNumberFormat="1" fontId="1" applyFont="1" fillId="4" applyFill="1" borderId="29" applyBorder="1" xfId="0" applyProtection="1" applyAlignment="1">
      <alignment horizontal="center" vertical="center"/>
    </xf>
    <xf numFmtId="0" applyNumberFormat="1" fontId="1" applyFont="1" fillId="4" applyFill="1" borderId="33" applyBorder="1" xfId="0" applyProtection="1" applyAlignment="1">
      <alignment horizontal="center" vertical="center"/>
    </xf>
    <xf numFmtId="0" applyNumberFormat="1" fontId="1" applyFont="1" fillId="4" applyFill="1" borderId="35" applyBorder="1" xfId="0" applyProtection="1" applyAlignment="1">
      <alignment horizontal="center" vertical="center"/>
    </xf>
    <xf numFmtId="0" applyNumberFormat="1" fontId="1" applyFont="1" fillId="4" applyFill="1" borderId="29" applyBorder="1" xfId="0" applyProtection="1" applyAlignment="1">
      <alignment horizontal="center" vertical="center" wrapText="1"/>
    </xf>
    <xf numFmtId="0" applyNumberFormat="1" fontId="1" applyFont="1" fillId="4" applyFill="1" borderId="33" applyBorder="1" xfId="0" applyProtection="1" applyAlignment="1">
      <alignment horizontal="center" vertical="center" wrapText="1"/>
    </xf>
    <xf numFmtId="0" applyNumberFormat="1" fontId="1" applyFont="1" fillId="4" applyFill="1" borderId="35" applyBorder="1" xfId="0" applyProtection="1" applyAlignment="1">
      <alignment horizontal="center" vertical="center" wrapText="1"/>
    </xf>
    <xf numFmtId="0" applyNumberFormat="1" fontId="2" applyFont="1" fillId="4" applyFill="1" borderId="4" applyBorder="1" xfId="0" applyProtection="1" applyAlignment="1">
      <alignment horizontal="center" vertical="center" wrapText="1"/>
    </xf>
    <xf numFmtId="0" applyNumberFormat="1" fontId="2" applyFont="1" fillId="4" applyFill="1" borderId="8" applyBorder="1" xfId="0" applyProtection="1" applyAlignment="1">
      <alignment horizontal="center" vertical="center" wrapText="1"/>
    </xf>
    <xf numFmtId="0" applyNumberFormat="1" fontId="1" applyFont="1" fillId="0" applyFill="1" borderId="53" applyBorder="1" xfId="0" applyProtection="1" applyAlignment="1">
      <alignment horizontal="center" vertical="center"/>
    </xf>
    <xf numFmtId="0" applyNumberFormat="1" fontId="1" applyFont="1" fillId="0" applyFill="1" borderId="44" applyBorder="1" xfId="0" applyProtection="1" applyAlignment="1">
      <alignment horizontal="center" vertical="center"/>
    </xf>
    <xf numFmtId="0" applyNumberFormat="1" fontId="1" applyFont="1" fillId="0" applyFill="1" borderId="46" applyBorder="1" xfId="0" applyProtection="1" applyAlignment="1">
      <alignment horizontal="center" vertical="center"/>
    </xf>
    <xf numFmtId="0" applyNumberFormat="1" fontId="1" applyFont="1" fillId="0" applyFill="1" borderId="43" applyBorder="1" xfId="0" applyProtection="1" applyAlignment="1">
      <alignment horizontal="center" vertical="center"/>
    </xf>
    <xf numFmtId="0" applyNumberFormat="1" fontId="1" applyFont="1" fillId="0" applyFill="1" borderId="45" applyBorder="1" xfId="0" applyProtection="1" applyAlignment="1">
      <alignment horizontal="center" vertical="center"/>
    </xf>
    <xf numFmtId="0" applyNumberFormat="1" fontId="1" applyFont="1" fillId="2" applyFill="1" borderId="35" applyBorder="1" xfId="0" applyProtection="1" applyAlignment="1">
      <alignment horizontal="center" vertical="center" wrapText="1"/>
    </xf>
    <xf numFmtId="0" applyNumberFormat="1" fontId="1" applyFont="1" fillId="0" applyFill="1" borderId="49" applyBorder="1" xfId="0" applyProtection="1" applyAlignment="1">
      <alignment horizontal="center" vertical="center"/>
    </xf>
    <xf numFmtId="0" applyNumberFormat="1" fontId="1" applyFont="1" fillId="0" applyFill="1" borderId="55" applyBorder="1" xfId="0" applyProtection="1" applyAlignment="1">
      <alignment horizontal="center" vertical="center"/>
    </xf>
    <xf numFmtId="0" applyNumberFormat="1" fontId="1" applyFont="1" fillId="0" applyFill="1" borderId="56" applyBorder="1" xfId="0" applyProtection="1" applyAlignment="1">
      <alignment horizontal="center" vertical="center"/>
    </xf>
    <xf numFmtId="0" applyNumberFormat="1" fontId="1" applyFont="1" fillId="2" applyFill="1" borderId="40" applyBorder="1" xfId="0" applyProtection="1" applyAlignment="1">
      <alignment horizontal="center" vertical="center"/>
    </xf>
    <xf numFmtId="0" applyNumberFormat="1" fontId="1" applyFont="1" fillId="2" applyFill="1" borderId="25" applyBorder="1" xfId="0" applyProtection="1" applyAlignment="1">
      <alignment horizontal="center" vertical="center"/>
    </xf>
    <xf numFmtId="0" applyNumberFormat="1" fontId="1" applyFont="1" fillId="0" applyFill="1" borderId="4" applyBorder="1" xfId="0" applyProtection="1" applyAlignment="1">
      <alignment horizontal="center" vertical="center"/>
    </xf>
    <xf numFmtId="0" applyNumberFormat="1" fontId="1" applyFont="1" fillId="0" applyFill="1" borderId="9" applyBorder="1" xfId="0" applyProtection="1" applyAlignment="1">
      <alignment horizontal="center" vertical="center"/>
    </xf>
    <xf numFmtId="0" applyNumberFormat="1" fontId="1" applyFont="1" fillId="0" applyFill="1" borderId="8" applyBorder="1" xfId="0" applyProtection="1" applyAlignment="1">
      <alignment horizontal="center" vertical="center"/>
    </xf>
    <xf numFmtId="0" applyNumberFormat="1" fontId="1" applyFont="1" fillId="4" applyFill="1" borderId="40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 applyAlignment="1">
      <alignment horizontal="center" vertical="center" wrapText="1"/>
    </xf>
    <xf numFmtId="0" applyNumberFormat="1" fontId="2" applyFont="1" fillId="0" applyFill="1" borderId="43" applyBorder="1" xfId="0" applyProtection="1" applyAlignment="1">
      <alignment horizontal="center" vertical="center" wrapText="1"/>
    </xf>
    <xf numFmtId="0" applyNumberFormat="1" fontId="2" applyFont="1" fillId="0" applyFill="1" borderId="44" applyBorder="1" xfId="0" applyProtection="1" applyAlignment="1">
      <alignment horizontal="center" vertical="center" wrapText="1"/>
    </xf>
    <xf numFmtId="0" applyNumberFormat="1" fontId="2" applyFont="1" fillId="0" applyFill="1" borderId="45" applyBorder="1" xfId="0" applyProtection="1" applyAlignment="1">
      <alignment horizontal="center" vertical="center" wrapText="1"/>
    </xf>
    <xf numFmtId="0" applyNumberFormat="1" fontId="1" applyFont="1" fillId="0" applyFill="1" borderId="4" applyBorder="1" xfId="0" applyProtection="1" applyAlignment="1">
      <alignment horizontal="center" vertical="center" wrapText="1"/>
    </xf>
    <xf numFmtId="0" applyNumberFormat="1" fontId="1" applyFont="1" fillId="0" applyFill="1" borderId="9" applyBorder="1" xfId="0" applyProtection="1" applyAlignment="1">
      <alignment horizontal="center" vertical="center" wrapText="1"/>
    </xf>
    <xf numFmtId="0" applyNumberFormat="1" fontId="1" applyFont="1" fillId="0" applyFill="1" borderId="8" applyBorder="1" xfId="0" applyProtection="1" applyAlignment="1">
      <alignment horizontal="center" vertical="center" wrapText="1"/>
    </xf>
    <xf numFmtId="0" applyNumberFormat="1" fontId="1" applyFont="1" fillId="3" applyFill="1" borderId="13" applyBorder="1" xfId="0" applyProtection="1" applyAlignment="1">
      <alignment horizontal="center" vertical="center"/>
    </xf>
    <xf numFmtId="0" applyNumberFormat="1" fontId="1" applyFont="1" fillId="3" applyFill="1" borderId="10" applyBorder="1" xfId="0" applyProtection="1" applyAlignment="1">
      <alignment horizontal="center" vertical="center"/>
    </xf>
    <xf numFmtId="0" applyNumberFormat="1" fontId="1" applyFont="1" fillId="0" applyFill="1" borderId="28" applyBorder="1" xfId="0" applyProtection="1" applyAlignment="1">
      <alignment horizontal="center" vertical="center" wrapText="1"/>
    </xf>
    <xf numFmtId="0" applyNumberFormat="1" fontId="1" applyFont="1" fillId="0" applyFill="1" borderId="59" applyBorder="1" xfId="0" applyProtection="1" applyAlignment="1">
      <alignment horizontal="center" vertical="center" wrapText="1"/>
    </xf>
    <xf numFmtId="0" applyNumberFormat="1" fontId="1" applyFont="1" fillId="0" applyFill="1" borderId="42" applyBorder="1" xfId="0" applyProtection="1" applyAlignment="1">
      <alignment horizontal="center" vertical="center" wrapText="1"/>
    </xf>
    <xf numFmtId="49" applyNumberFormat="1" fontId="1" applyFont="1" fillId="3" applyFill="1" borderId="6" applyBorder="1" xfId="0" applyProtection="1" applyAlignment="1">
      <alignment horizontal="center" vertical="center"/>
    </xf>
    <xf numFmtId="49" applyNumberFormat="1" fontId="1" applyFont="1" fillId="3" applyFill="1" borderId="7" applyBorder="1" xfId="0" applyProtection="1" applyAlignment="1">
      <alignment horizontal="center" vertical="center"/>
    </xf>
    <xf numFmtId="0" applyNumberFormat="1" fontId="1" applyFont="1" fillId="3" applyFill="1" borderId="2" applyBorder="1" xfId="0" applyProtection="1" applyAlignment="1">
      <alignment horizontal="center" vertical="center"/>
    </xf>
    <xf numFmtId="0" applyNumberFormat="1" fontId="1" applyFont="1" fillId="3" applyFill="1" borderId="6" applyBorder="1" xfId="0" applyProtection="1" applyAlignment="1">
      <alignment horizontal="center" vertical="center"/>
    </xf>
    <xf numFmtId="49" applyNumberFormat="1" fontId="1" applyFont="1" fillId="3" applyFill="1" borderId="37" applyBorder="1" xfId="0" applyProtection="1" applyAlignment="1">
      <alignment horizontal="center" vertical="center"/>
    </xf>
    <xf numFmtId="49" applyNumberFormat="1" fontId="1" applyFont="1" fillId="3" applyFill="1" borderId="31" applyBorder="1" xfId="0" applyProtection="1" applyAlignment="1">
      <alignment horizontal="center" vertical="center"/>
    </xf>
    <xf numFmtId="49" applyNumberFormat="1" fontId="1" applyFont="1" fillId="3" applyFill="1" borderId="40" applyBorder="1" xfId="0" applyProtection="1" applyAlignment="1">
      <alignment horizontal="center" vertical="center"/>
    </xf>
    <xf numFmtId="49" applyNumberFormat="1" fontId="1" applyFont="1" fillId="3" applyFill="1" borderId="14" applyBorder="1" xfId="0" applyProtection="1" applyAlignment="1">
      <alignment horizontal="center" vertical="center"/>
    </xf>
    <xf numFmtId="49" applyNumberFormat="1" fontId="1" applyFont="1" fillId="3" applyFill="1" borderId="0" applyBorder="1" xfId="0" applyProtection="1" applyAlignment="1">
      <alignment horizontal="center" vertical="center"/>
    </xf>
    <xf numFmtId="49" applyNumberFormat="1" fontId="1" applyFont="1" fillId="3" applyFill="1" borderId="25" applyBorder="1" xfId="0" applyProtection="1" applyAlignment="1">
      <alignment horizontal="center" vertical="center"/>
    </xf>
    <xf numFmtId="49" applyNumberFormat="1" fontId="1" applyFont="1" fillId="3" applyFill="1" borderId="18" applyBorder="1" xfId="0" applyProtection="1" applyAlignment="1">
      <alignment horizontal="center" vertical="center"/>
    </xf>
    <xf numFmtId="49" applyNumberFormat="1" fontId="1" applyFont="1" fillId="3" applyFill="1" borderId="19" applyBorder="1" xfId="0" applyProtection="1" applyAlignment="1">
      <alignment horizontal="center" vertical="center"/>
    </xf>
    <xf numFmtId="49" applyNumberFormat="1" fontId="1" applyFont="1" fillId="3" applyFill="1" borderId="41" applyBorder="1" xfId="0" applyProtection="1" applyAlignment="1">
      <alignment horizontal="center" vertical="center"/>
    </xf>
    <xf numFmtId="0" applyNumberFormat="1" fontId="1" applyFont="1" fillId="0" applyFill="1" borderId="1" applyBorder="1" xfId="0" applyProtection="1" applyAlignment="1">
      <alignment horizontal="center" vertical="center" wrapText="1"/>
    </xf>
    <xf numFmtId="0" applyNumberFormat="1" fontId="1" applyFont="1" fillId="0" applyFill="1" borderId="31" applyBorder="1" xfId="0" applyProtection="1" applyAlignment="1">
      <alignment horizontal="center" vertical="center" wrapText="1"/>
    </xf>
    <xf numFmtId="0" applyNumberFormat="1" fontId="1" applyFont="1" fillId="0" applyFill="1" borderId="40" applyBorder="1" xfId="0" applyProtection="1" applyAlignment="1">
      <alignment horizontal="center" vertical="center" wrapText="1"/>
    </xf>
    <xf numFmtId="0" applyNumberFormat="1" fontId="1" applyFont="1" fillId="0" applyFill="1" borderId="17" applyBorder="1" xfId="0" applyProtection="1" applyAlignment="1">
      <alignment horizontal="center" vertical="center" wrapText="1"/>
    </xf>
    <xf numFmtId="0" applyNumberFormat="1" fontId="1" applyFont="1" fillId="0" applyFill="1" borderId="0" applyBorder="1" xfId="0" applyProtection="1" applyAlignment="1">
      <alignment horizontal="center" vertical="center" wrapText="1"/>
    </xf>
    <xf numFmtId="0" applyNumberFormat="1" fontId="1" applyFont="1" fillId="0" applyFill="1" borderId="25" applyBorder="1" xfId="0" applyProtection="1" applyAlignment="1">
      <alignment horizontal="center" vertical="center" wrapText="1"/>
    </xf>
    <xf numFmtId="0" applyNumberFormat="1" fontId="1" applyFont="1" fillId="0" applyFill="1" borderId="5" applyBorder="1" xfId="0" applyProtection="1" applyAlignment="1">
      <alignment horizontal="center" vertical="center" wrapText="1"/>
    </xf>
    <xf numFmtId="0" applyNumberFormat="1" fontId="1" applyFont="1" fillId="0" applyFill="1" borderId="19" applyBorder="1" xfId="0" applyProtection="1" applyAlignment="1">
      <alignment horizontal="center" vertical="center" wrapText="1"/>
    </xf>
    <xf numFmtId="0" applyNumberFormat="1" fontId="1" applyFont="1" fillId="0" applyFill="1" borderId="41" applyBorder="1" xfId="0" applyProtection="1" applyAlignment="1">
      <alignment horizontal="center" vertical="center" wrapText="1"/>
    </xf>
    <xf numFmtId="0" applyNumberFormat="1" fontId="1" applyFont="1" fillId="0" applyFill="1" borderId="29" applyBorder="1" xfId="0" applyProtection="1" applyAlignment="1">
      <alignment horizontal="center" vertical="center" wrapText="1"/>
    </xf>
    <xf numFmtId="0" applyNumberFormat="1" fontId="1" applyFont="1" fillId="0" applyFill="1" borderId="33" applyBorder="1" xfId="0" applyProtection="1" applyAlignment="1">
      <alignment horizontal="center" vertical="center" wrapText="1"/>
    </xf>
    <xf numFmtId="0" applyNumberFormat="1" fontId="1" applyFont="1" fillId="0" applyFill="1" borderId="61" applyBorder="1" xfId="0" applyProtection="1" applyAlignment="1">
      <alignment horizontal="center" vertical="center" wrapText="1"/>
    </xf>
    <xf numFmtId="0" applyNumberFormat="1" fontId="1" applyFont="1" fillId="0" applyFill="1" borderId="62" applyBorder="1" xfId="0" applyProtection="1" applyAlignment="1">
      <alignment horizontal="center" vertical="center"/>
    </xf>
    <xf numFmtId="0" applyNumberFormat="1" fontId="1" applyFont="1" fillId="0" applyFill="1" borderId="46" applyBorder="1" xfId="0" applyProtection="1" applyAlignment="1">
      <alignment horizontal="center" vertical="center" wrapText="1"/>
    </xf>
    <xf numFmtId="0" applyNumberFormat="1" fontId="1" applyFont="1" fillId="3" applyFill="1" borderId="46" applyBorder="1" xfId="0" applyProtection="1" applyAlignment="1">
      <alignment horizontal="center" vertical="center" wrapText="1"/>
    </xf>
    <xf numFmtId="0" applyNumberFormat="1" fontId="1" applyFont="1" fillId="3" applyFill="1" borderId="59" applyBorder="1" xfId="0" applyProtection="1" applyAlignment="1">
      <alignment horizontal="center" vertical="center" wrapText="1"/>
    </xf>
    <xf numFmtId="0" applyNumberFormat="1" fontId="1" applyFont="1" fillId="3" applyFill="1" borderId="30" applyBorder="1" xfId="0" applyProtection="1" applyAlignment="1">
      <alignment horizontal="center" vertical="center" wrapText="1"/>
    </xf>
    <xf numFmtId="0" applyNumberFormat="1" fontId="1" applyFont="1" fillId="3" applyFill="1" borderId="34" applyBorder="1" xfId="0" applyProtection="1" applyAlignment="1">
      <alignment horizontal="center" vertical="center" wrapText="1"/>
    </xf>
    <xf numFmtId="0" applyNumberFormat="1" fontId="1" applyFont="1" fillId="3" applyFill="1" borderId="13" applyBorder="1" xfId="0" applyProtection="1" applyAlignment="1">
      <alignment horizontal="center" vertical="center" wrapText="1"/>
    </xf>
    <xf numFmtId="0" applyNumberFormat="1" fontId="1" applyFont="1" fillId="3" applyFill="1" borderId="28" applyBorder="1" xfId="0" applyProtection="1" applyAlignment="1">
      <alignment horizontal="center" vertical="center" wrapText="1"/>
    </xf>
    <xf numFmtId="0" applyNumberFormat="1" fontId="2" applyFont="1" fillId="0" applyFill="1" borderId="50" applyBorder="1" xfId="0" applyProtection="1" applyAlignment="1">
      <alignment horizontal="center" vertical="center"/>
    </xf>
    <xf numFmtId="0" applyNumberFormat="1" fontId="1" applyFont="1" fillId="3" applyFill="1" borderId="42" applyBorder="1" xfId="0" applyProtection="1" applyAlignment="1">
      <alignment horizontal="center" vertical="center" wrapText="1"/>
    </xf>
    <xf numFmtId="0" applyNumberFormat="1" fontId="2" applyFont="1" fillId="0" applyFill="1" borderId="12" applyBorder="1" xfId="0" applyProtection="1" applyAlignment="1">
      <alignment horizontal="center" vertical="center" wrapText="1"/>
    </xf>
    <xf numFmtId="0" applyNumberFormat="1" fontId="2" applyFont="1" fillId="0" applyFill="1" borderId="16" applyBorder="1" xfId="0" applyProtection="1" applyAlignment="1">
      <alignment horizontal="center" vertical="center" wrapText="1"/>
    </xf>
    <xf numFmtId="0" applyNumberFormat="1" fontId="2" applyFont="1" fillId="0" applyFill="1" borderId="29" applyBorder="1" xfId="0" applyProtection="1" applyAlignment="1">
      <alignment horizontal="center" vertical="center" wrapText="1"/>
    </xf>
    <xf numFmtId="0" applyNumberFormat="1" fontId="2" applyFont="1" fillId="0" applyFill="1" borderId="33" applyBorder="1" xfId="0" applyProtection="1" applyAlignment="1">
      <alignment horizontal="center" vertical="center" wrapText="1"/>
    </xf>
    <xf numFmtId="0" applyNumberFormat="1" fontId="2" applyFont="1" fillId="0" applyFill="1" borderId="30" applyBorder="1" xfId="0" applyProtection="1" applyAlignment="1">
      <alignment horizontal="center" vertical="center" wrapText="1"/>
    </xf>
    <xf numFmtId="0" applyNumberFormat="1" fontId="2" applyFont="1" fillId="0" applyFill="1" borderId="34" applyBorder="1" xfId="0" applyProtection="1" applyAlignment="1">
      <alignment horizontal="center" vertical="center" wrapText="1"/>
    </xf>
    <xf numFmtId="0" applyNumberFormat="1" fontId="2" applyFont="1" fillId="0" applyFill="1" borderId="46" applyBorder="1" xfId="0" applyProtection="1" applyAlignment="1">
      <alignment horizontal="center" vertical="center" wrapText="1"/>
    </xf>
    <xf numFmtId="0" applyNumberFormat="1" fontId="1" applyFont="1" fillId="4" applyFill="1" borderId="1" applyBorder="1" xfId="0" applyProtection="1" applyAlignment="1">
      <alignment horizontal="center" vertical="center" wrapText="1"/>
    </xf>
    <xf numFmtId="0" applyNumberFormat="1" fontId="1" applyFont="1" fillId="4" applyFill="1" borderId="31" applyBorder="1" xfId="0" applyProtection="1" applyAlignment="1">
      <alignment horizontal="center" vertical="center" wrapText="1"/>
    </xf>
    <xf numFmtId="0" applyNumberFormat="1" fontId="1" applyFont="1" fillId="4" applyFill="1" borderId="17" applyBorder="1" xfId="0" applyProtection="1" applyAlignment="1">
      <alignment horizontal="center" vertical="center" wrapText="1"/>
    </xf>
    <xf numFmtId="0" applyNumberFormat="1" fontId="1" applyFont="1" fillId="4" applyFill="1" borderId="0" applyBorder="1" xfId="0" applyProtection="1" applyAlignment="1">
      <alignment horizontal="center" vertical="center" wrapText="1"/>
    </xf>
    <xf numFmtId="0" applyNumberFormat="1" fontId="1" applyFont="1" fillId="4" applyFill="1" borderId="5" applyBorder="1" xfId="0" applyProtection="1" applyAlignment="1">
      <alignment horizontal="center" vertical="center" wrapText="1"/>
    </xf>
    <xf numFmtId="0" applyNumberFormat="1" fontId="1" applyFont="1" fillId="4" applyFill="1" borderId="19" applyBorder="1" xfId="0" applyProtection="1" applyAlignment="1">
      <alignment horizontal="center" vertical="center" wrapText="1"/>
    </xf>
    <xf numFmtId="49" applyNumberFormat="1" fontId="1" applyFont="1" fillId="4" applyFill="1" borderId="6" applyBorder="1" xfId="0" applyProtection="1" applyAlignment="1">
      <alignment horizontal="center" vertical="center"/>
    </xf>
    <xf numFmtId="49" applyNumberFormat="1" fontId="1" applyFont="1" fillId="4" applyFill="1" borderId="7" applyBorder="1" xfId="0" applyProtection="1" applyAlignment="1">
      <alignment horizontal="center" vertical="center"/>
    </xf>
    <xf numFmtId="0" applyNumberFormat="1" fontId="2" applyFont="1" fillId="4" applyFill="1" borderId="60" applyBorder="1" xfId="0" applyProtection="1" applyAlignment="1">
      <alignment horizontal="center" vertical="center" wrapText="1"/>
    </xf>
    <xf numFmtId="0" applyNumberFormat="1" fontId="2" applyFont="1" fillId="4" applyFill="1" borderId="38" applyBorder="1" xfId="0" applyProtection="1" applyAlignment="1">
      <alignment horizontal="center" vertical="center" wrapText="1"/>
    </xf>
    <xf numFmtId="49" applyNumberFormat="1" fontId="1" applyFont="1" fillId="4" applyFill="1" borderId="10" applyBorder="1" xfId="0" applyProtection="1" applyAlignment="1">
      <alignment horizontal="center" vertical="center"/>
    </xf>
    <xf numFmtId="49" applyNumberFormat="1" fontId="1" applyFont="1" fillId="0" applyFill="1" borderId="10" applyBorder="1" xfId="0" applyProtection="1" applyAlignment="1">
      <alignment horizontal="center" vertical="center"/>
    </xf>
    <xf numFmtId="0" applyNumberFormat="1" fontId="1" applyFont="1" fillId="4" applyFill="1" borderId="4" applyBorder="1" xfId="0" applyProtection="1" applyAlignment="1">
      <alignment horizontal="center" vertical="center" wrapText="1"/>
    </xf>
    <xf numFmtId="0" applyNumberFormat="1" fontId="1" applyFont="1" fillId="4" applyFill="1" borderId="9" applyBorder="1" xfId="0" applyProtection="1" applyAlignment="1">
      <alignment horizontal="center" vertical="center" wrapText="1"/>
    </xf>
    <xf numFmtId="0" applyNumberFormat="1" fontId="1" applyFont="1" fillId="4" applyFill="1" borderId="8" applyBorder="1" xfId="0" applyProtection="1" applyAlignment="1">
      <alignment horizontal="center" vertical="center" wrapText="1"/>
    </xf>
    <xf numFmtId="0" applyNumberFormat="1" fontId="1" applyFont="1" fillId="4" applyFill="1" borderId="46" applyBorder="1" xfId="0" applyProtection="1" applyAlignment="1">
      <alignment horizontal="center" vertical="center" wrapText="1"/>
    </xf>
    <xf numFmtId="0" applyNumberFormat="1" fontId="1" applyFont="1" fillId="4" applyFill="1" borderId="59" applyBorder="1" xfId="0" applyProtection="1" applyAlignment="1">
      <alignment horizontal="center" vertical="center" wrapText="1"/>
    </xf>
    <xf numFmtId="0" applyNumberFormat="1" fontId="1" applyFont="1" fillId="4" applyFill="1" borderId="42" applyBorder="1" xfId="0" applyProtection="1" applyAlignment="1">
      <alignment horizontal="center" vertical="center" wrapText="1"/>
    </xf>
    <xf numFmtId="0" applyNumberFormat="1" fontId="1" applyFont="1" fillId="4" applyFill="1" borderId="28" applyBorder="1" xfId="0" applyProtection="1" applyAlignment="1">
      <alignment horizontal="center" vertical="center" wrapText="1"/>
    </xf>
    <xf numFmtId="0" applyNumberFormat="1" fontId="1" applyFont="1" fillId="3" applyFill="1" borderId="32" applyBorder="1" xfId="0" applyProtection="1" applyAlignment="1">
      <alignment horizontal="center" vertical="center"/>
    </xf>
    <xf numFmtId="0" applyNumberFormat="1" fontId="1" applyFont="1" fillId="3" applyFill="1" borderId="15" applyBorder="1" xfId="0" applyProtection="1" applyAlignment="1">
      <alignment horizontal="center" vertical="center"/>
    </xf>
    <xf numFmtId="0" applyNumberFormat="1" fontId="1" applyFont="1" fillId="3" applyFill="1" borderId="20" applyBorder="1" xfId="0" applyProtection="1" applyAlignment="1">
      <alignment horizontal="center" vertical="center"/>
    </xf>
    <xf numFmtId="0" applyNumberFormat="1" fontId="2" applyFont="1" fillId="0" applyFill="1" borderId="54" applyBorder="1" xfId="0" applyProtection="1" applyAlignment="1">
      <alignment horizontal="center" vertical="center"/>
    </xf>
    <xf numFmtId="0" applyNumberFormat="1" fontId="1" applyFont="1" fillId="0" applyFill="1" borderId="51" applyBorder="1" xfId="0" applyProtection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терминалам'!$U$15:$V$15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терминалам'!$W$15:$X$15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CE-4569-9841-A49E778EEB8E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терминалам'!$U$16:$V$16</c:f>
              <c:numCache>
                <c:formatCode>General</c:formatCode>
                <c:ptCount val="2"/>
                <c:pt idx="0">
                  <c:v>0</c:v>
                </c:pt>
                <c:pt idx="1">
                  <c:v>28.578838324886465</c:v>
                </c:pt>
              </c:numCache>
            </c:numRef>
          </c:xVal>
          <c:yVal>
            <c:numRef>
              <c:f>'По терминалам'!$W$16:$X$16</c:f>
              <c:numCache>
                <c:formatCode>General</c:formatCode>
                <c:ptCount val="2"/>
                <c:pt idx="0">
                  <c:v>0</c:v>
                </c:pt>
                <c:pt idx="1">
                  <c:v>-16.500000000000014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CE-4569-9841-A49E778EEB8E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терминалам'!$U$17:$V$17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терминалам'!$W$17:$X$17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CE-4569-9841-A49E778EE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терминалам'!$U$11:$V$11</c:f>
              <c:numCache>
                <c:formatCode>General</c:formatCode>
                <c:ptCount val="2"/>
                <c:pt idx="0">
                  <c:v>0</c:v>
                </c:pt>
                <c:pt idx="1">
                  <c:v>-0.27923850299653563</c:v>
                </c:pt>
              </c:numCache>
            </c:numRef>
          </c:xVal>
          <c:yVal>
            <c:numRef>
              <c:f>'По терминалам'!$W$11:$X$11</c:f>
              <c:numCache>
                <c:formatCode>General</c:formatCode>
                <c:ptCount val="2"/>
                <c:pt idx="0">
                  <c:v>0</c:v>
                </c:pt>
                <c:pt idx="1">
                  <c:v>15.99756312250226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747-A4A1-943A70C29D41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терминалам'!$U$12:$V$12</c:f>
              <c:numCache>
                <c:formatCode>General</c:formatCode>
                <c:ptCount val="2"/>
                <c:pt idx="0">
                  <c:v>0</c:v>
                </c:pt>
                <c:pt idx="1">
                  <c:v>13.856406460551014</c:v>
                </c:pt>
              </c:numCache>
            </c:numRef>
          </c:xVal>
          <c:yVal>
            <c:numRef>
              <c:f>'По терминалам'!$W$12:$X$12</c:f>
              <c:numCache>
                <c:formatCode>General</c:formatCode>
                <c:ptCount val="2"/>
                <c:pt idx="0">
                  <c:v>0</c:v>
                </c:pt>
                <c:pt idx="1">
                  <c:v>-8.0000000000000071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7-4747-A4A1-943A70C29D41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терминалам'!$U$13:$V$13</c:f>
              <c:numCache>
                <c:formatCode>General</c:formatCode>
                <c:ptCount val="2"/>
                <c:pt idx="0">
                  <c:v>0</c:v>
                </c:pt>
                <c:pt idx="1">
                  <c:v>-14.12716148574283</c:v>
                </c:pt>
              </c:numCache>
            </c:numRef>
          </c:xVal>
          <c:yVal>
            <c:numRef>
              <c:f>'По терминалам'!$W$13:$X$13</c:f>
              <c:numCache>
                <c:formatCode>General</c:formatCode>
                <c:ptCount val="2"/>
                <c:pt idx="0">
                  <c:v>0</c:v>
                </c:pt>
                <c:pt idx="1">
                  <c:v>-7.5115450045742538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7-4747-A4A1-943A70C29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терминалам'!$U$19:$V$19</c:f>
              <c:numCache>
                <c:formatCode>General</c:formatCode>
                <c:ptCount val="2"/>
                <c:pt idx="0">
                  <c:v>0</c:v>
                </c:pt>
                <c:pt idx="1">
                  <c:v>0.55847700599307515</c:v>
                </c:pt>
              </c:numCache>
            </c:numRef>
          </c:xVal>
          <c:yVal>
            <c:numRef>
              <c:f>'По терминалам'!$W$19:$X$19</c:f>
              <c:numCache>
                <c:formatCode>General</c:formatCode>
                <c:ptCount val="2"/>
                <c:pt idx="0">
                  <c:v>0</c:v>
                </c:pt>
                <c:pt idx="1">
                  <c:v>31.995126245004521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BB-42A7-860E-D87EAE0F5B32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терминалам'!$U$20:$V$20</c:f>
              <c:numCache>
                <c:formatCode>General</c:formatCode>
                <c:ptCount val="2"/>
                <c:pt idx="0">
                  <c:v>0</c:v>
                </c:pt>
                <c:pt idx="1">
                  <c:v>27.712812921102028</c:v>
                </c:pt>
              </c:numCache>
            </c:numRef>
          </c:xVal>
          <c:yVal>
            <c:numRef>
              <c:f>'По терминалам'!$W$20:$X$20</c:f>
              <c:numCache>
                <c:formatCode>General</c:formatCode>
                <c:ptCount val="2"/>
                <c:pt idx="0">
                  <c:v>0</c:v>
                </c:pt>
                <c:pt idx="1">
                  <c:v>-16.000000000000014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BB-42A7-860E-D87EAE0F5B32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терминалам'!$U$21:$V$21</c:f>
              <c:numCache>
                <c:formatCode>General</c:formatCode>
                <c:ptCount val="2"/>
                <c:pt idx="0">
                  <c:v>0</c:v>
                </c:pt>
                <c:pt idx="1">
                  <c:v>-28.25432297148566</c:v>
                </c:pt>
              </c:numCache>
            </c:numRef>
          </c:xVal>
          <c:yVal>
            <c:numRef>
              <c:f>'По терминалам'!$W$21:$X$21</c:f>
              <c:numCache>
                <c:formatCode>General</c:formatCode>
                <c:ptCount val="2"/>
                <c:pt idx="0">
                  <c:v>0</c:v>
                </c:pt>
                <c:pt idx="1">
                  <c:v>-15.023090009148508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BB-42A7-860E-D87EAE0F5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терминалам'!$U$29:$V$29</c:f>
              <c:numCache>
                <c:formatCode>General</c:formatCode>
                <c:ptCount val="2"/>
                <c:pt idx="0">
                  <c:v>0</c:v>
                </c:pt>
                <c:pt idx="1">
                  <c:v>0.55847700599307515</c:v>
                </c:pt>
              </c:numCache>
            </c:numRef>
          </c:xVal>
          <c:yVal>
            <c:numRef>
              <c:f>'По терминалам'!$W$29:$X$29</c:f>
              <c:numCache>
                <c:formatCode>General</c:formatCode>
                <c:ptCount val="2"/>
                <c:pt idx="0">
                  <c:v>0</c:v>
                </c:pt>
                <c:pt idx="1">
                  <c:v>31.995126245004521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ED-41A9-B788-752782CCB1F2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терминалам'!$U$30:$V$30</c:f>
              <c:numCache>
                <c:formatCode>General</c:formatCode>
                <c:ptCount val="2"/>
                <c:pt idx="0">
                  <c:v>0</c:v>
                </c:pt>
                <c:pt idx="1">
                  <c:v>28.862450335600062</c:v>
                </c:pt>
              </c:numCache>
            </c:numRef>
          </c:xVal>
          <c:yVal>
            <c:numRef>
              <c:f>'По терминалам'!$W$30:$X$30</c:f>
              <c:numCache>
                <c:formatCode>General</c:formatCode>
                <c:ptCount val="2"/>
                <c:pt idx="0">
                  <c:v>0</c:v>
                </c:pt>
                <c:pt idx="1">
                  <c:v>-15.998717468129117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ED-41A9-B788-752782CCB1F2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терминалам'!$U$31:$V$31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терминалам'!$W$31:$X$31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ED-41A9-B788-752782CCB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терминалам'!$U$25:$V$25</c:f>
              <c:numCache>
                <c:formatCode>General</c:formatCode>
                <c:ptCount val="2"/>
                <c:pt idx="0">
                  <c:v>0</c:v>
                </c:pt>
                <c:pt idx="1">
                  <c:v>3.1186753622663916</c:v>
                </c:pt>
              </c:numCache>
            </c:numRef>
          </c:xVal>
          <c:yVal>
            <c:numRef>
              <c:f>'По терминалам'!$W$25:$X$25</c:f>
              <c:numCache>
                <c:formatCode>General</c:formatCode>
                <c:ptCount val="2"/>
                <c:pt idx="0">
                  <c:v>0</c:v>
                </c:pt>
                <c:pt idx="1">
                  <c:v>14.672214011007084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2-4986-AFE0-AECB29C52518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терминалам'!$U$26:$V$26</c:f>
              <c:numCache>
                <c:formatCode>General</c:formatCode>
                <c:ptCount val="2"/>
                <c:pt idx="0">
                  <c:v>0</c:v>
                </c:pt>
                <c:pt idx="1">
                  <c:v>15.588457268119891</c:v>
                </c:pt>
              </c:numCache>
            </c:numRef>
          </c:xVal>
          <c:yVal>
            <c:numRef>
              <c:f>'По терминалам'!$W$26:$X$26</c:f>
              <c:numCache>
                <c:formatCode>General</c:formatCode>
                <c:ptCount val="2"/>
                <c:pt idx="0">
                  <c:v>0</c:v>
                </c:pt>
                <c:pt idx="1">
                  <c:v>-9.0000000000000071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2-4986-AFE0-AECB29C52518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терминалам'!$U$27:$V$27</c:f>
              <c:numCache>
                <c:formatCode>General</c:formatCode>
                <c:ptCount val="2"/>
                <c:pt idx="0">
                  <c:v>0</c:v>
                </c:pt>
                <c:pt idx="1">
                  <c:v>-12.857509510531685</c:v>
                </c:pt>
              </c:numCache>
            </c:numRef>
          </c:xVal>
          <c:yVal>
            <c:numRef>
              <c:f>'По терминалам'!$W$27:$X$27</c:f>
              <c:numCache>
                <c:formatCode>General</c:formatCode>
                <c:ptCount val="2"/>
                <c:pt idx="0">
                  <c:v>0</c:v>
                </c:pt>
                <c:pt idx="1">
                  <c:v>-7.7255711236508127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92-4986-AFE0-AECB29C52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терминалам'!$U$33:$V$33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терминалам'!$W$33:$X$33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C7-4CDD-82A2-3CC9B0DC1F4D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терминалам'!$U$34:$V$34</c:f>
              <c:numCache>
                <c:formatCode>General</c:formatCode>
                <c:ptCount val="2"/>
                <c:pt idx="0">
                  <c:v>0</c:v>
                </c:pt>
                <c:pt idx="1">
                  <c:v>28.862450335600062</c:v>
                </c:pt>
              </c:numCache>
            </c:numRef>
          </c:xVal>
          <c:yVal>
            <c:numRef>
              <c:f>'По терминалам'!$W$34:$X$34</c:f>
              <c:numCache>
                <c:formatCode>General</c:formatCode>
                <c:ptCount val="2"/>
                <c:pt idx="0">
                  <c:v>0</c:v>
                </c:pt>
                <c:pt idx="1">
                  <c:v>-15.998717468129117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C7-4CDD-82A2-3CC9B0DC1F4D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терминалам'!$U$35:$V$35</c:f>
              <c:numCache>
                <c:formatCode>General</c:formatCode>
                <c:ptCount val="2"/>
                <c:pt idx="0">
                  <c:v>0</c:v>
                </c:pt>
                <c:pt idx="1">
                  <c:v>-27.98558717316206</c:v>
                </c:pt>
              </c:numCache>
            </c:numRef>
          </c:xVal>
          <c:yVal>
            <c:numRef>
              <c:f>'По терминалам'!$W$35:$X$35</c:f>
              <c:numCache>
                <c:formatCode>General</c:formatCode>
                <c:ptCount val="2"/>
                <c:pt idx="0">
                  <c:v>0</c:v>
                </c:pt>
                <c:pt idx="1">
                  <c:v>-17.487335719695757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C7-4CDD-82A2-3CC9B0DC1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терминалам'!$U$43:$V$43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терминалам'!$W$43:$X$43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1E-4B16-8BCF-37A96F8EDE48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терминалам'!$U$44:$V$44</c:f>
              <c:numCache>
                <c:formatCode>General</c:formatCode>
                <c:ptCount val="2"/>
                <c:pt idx="0">
                  <c:v>0</c:v>
                </c:pt>
                <c:pt idx="1">
                  <c:v>28.578838324886465</c:v>
                </c:pt>
              </c:numCache>
            </c:numRef>
          </c:xVal>
          <c:yVal>
            <c:numRef>
              <c:f>'По терминалам'!$W$44:$X$44</c:f>
              <c:numCache>
                <c:formatCode>General</c:formatCode>
                <c:ptCount val="2"/>
                <c:pt idx="0">
                  <c:v>0</c:v>
                </c:pt>
                <c:pt idx="1">
                  <c:v>-16.500000000000014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1E-4B16-8BCF-37A96F8EDE48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терминалам'!$U$45:$V$45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терминалам'!$W$45:$X$45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1E-4B16-8BCF-37A96F8E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терминалам'!$U$39:$V$39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терминалам'!$W$39:$X$39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92-4AE9-843F-9A89FA25FF1A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терминалам'!$U$40:$V$40</c:f>
              <c:numCache>
                <c:formatCode>General</c:formatCode>
                <c:ptCount val="2"/>
                <c:pt idx="0">
                  <c:v>0</c:v>
                </c:pt>
                <c:pt idx="1">
                  <c:v>28.578838324886465</c:v>
                </c:pt>
              </c:numCache>
            </c:numRef>
          </c:xVal>
          <c:yVal>
            <c:numRef>
              <c:f>'По терминалам'!$W$40:$X$40</c:f>
              <c:numCache>
                <c:formatCode>General</c:formatCode>
                <c:ptCount val="2"/>
                <c:pt idx="0">
                  <c:v>0</c:v>
                </c:pt>
                <c:pt idx="1">
                  <c:v>-16.500000000000014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92-4AE9-843F-9A89FA25FF1A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терминалам'!$U$41:$V$41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терминалам'!$W$41:$X$41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92-4AE9-843F-9A89FA25F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терминалам'!$U$47:$V$47</c:f>
              <c:numCache>
                <c:formatCode>General</c:formatCode>
                <c:ptCount val="2"/>
                <c:pt idx="0">
                  <c:v>0</c:v>
                </c:pt>
                <c:pt idx="1">
                  <c:v>1.83772268236293E-16</c:v>
                </c:pt>
              </c:numCache>
            </c:numRef>
          </c:xVal>
          <c:yVal>
            <c:numRef>
              <c:f>'По терминалам'!$W$47:$X$47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7B-4428-8778-0B10EBE40F1D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терминалам'!$U$48:$V$48</c:f>
              <c:numCache>
                <c:formatCode>General</c:formatCode>
                <c:ptCount val="2"/>
                <c:pt idx="0">
                  <c:v>0</c:v>
                </c:pt>
                <c:pt idx="1">
                  <c:v>2.6488427785767805</c:v>
                </c:pt>
              </c:numCache>
            </c:numRef>
          </c:xVal>
          <c:yVal>
            <c:numRef>
              <c:f>'По терминалам'!$W$48:$X$48</c:f>
              <c:numCache>
                <c:formatCode>General</c:formatCode>
                <c:ptCount val="2"/>
                <c:pt idx="0">
                  <c:v>0</c:v>
                </c:pt>
                <c:pt idx="1">
                  <c:v>-1.4084146883576725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7B-4428-8778-0B10EBE40F1D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терминалам'!$U$49:$V$49</c:f>
              <c:numCache>
                <c:formatCode>General</c:formatCode>
                <c:ptCount val="2"/>
                <c:pt idx="0">
                  <c:v>0</c:v>
                </c:pt>
                <c:pt idx="1">
                  <c:v>-2.5715019021063368</c:v>
                </c:pt>
              </c:numCache>
            </c:numRef>
          </c:xVal>
          <c:yVal>
            <c:numRef>
              <c:f>'По терминалам'!$W$49:$X$49</c:f>
              <c:numCache>
                <c:formatCode>General</c:formatCode>
                <c:ptCount val="2"/>
                <c:pt idx="0">
                  <c:v>0</c:v>
                </c:pt>
                <c:pt idx="1">
                  <c:v>-1.5451142247301624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7B-4428-8778-0B10EBE4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терминалам'!$U$51:$V$51</c:f>
              <c:numCache>
                <c:formatCode>General</c:formatCode>
                <c:ptCount val="2"/>
                <c:pt idx="0">
                  <c:v>0</c:v>
                </c:pt>
                <c:pt idx="1">
                  <c:v>1.83772268236293E-16</c:v>
                </c:pt>
              </c:numCache>
            </c:numRef>
          </c:xVal>
          <c:yVal>
            <c:numRef>
              <c:f>'По терминалам'!$W$51:$X$51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7E-4C67-BD50-8D9F1E743F45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терминалам'!$U$52:$V$52</c:f>
              <c:numCache>
                <c:formatCode>General</c:formatCode>
                <c:ptCount val="2"/>
                <c:pt idx="0">
                  <c:v>0</c:v>
                </c:pt>
                <c:pt idx="1">
                  <c:v>2.6488427785767805</c:v>
                </c:pt>
              </c:numCache>
            </c:numRef>
          </c:xVal>
          <c:yVal>
            <c:numRef>
              <c:f>'По терминалам'!$W$52:$X$52</c:f>
              <c:numCache>
                <c:formatCode>General</c:formatCode>
                <c:ptCount val="2"/>
                <c:pt idx="0">
                  <c:v>0</c:v>
                </c:pt>
                <c:pt idx="1">
                  <c:v>-1.4084146883576725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7E-4C67-BD50-8D9F1E743F45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терминалам'!$U$53:$V$53</c:f>
              <c:numCache>
                <c:formatCode>General</c:formatCode>
                <c:ptCount val="2"/>
                <c:pt idx="0">
                  <c:v>0</c:v>
                </c:pt>
                <c:pt idx="1">
                  <c:v>-2.5715019021063368</c:v>
                </c:pt>
              </c:numCache>
            </c:numRef>
          </c:xVal>
          <c:yVal>
            <c:numRef>
              <c:f>'По терминалам'!$W$53:$X$53</c:f>
              <c:numCache>
                <c:formatCode>General</c:formatCode>
                <c:ptCount val="2"/>
                <c:pt idx="0">
                  <c:v>0</c:v>
                </c:pt>
                <c:pt idx="1">
                  <c:v>-1.5451142247301624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7E-4C67-BD50-8D9F1E743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терминалам'!$U$63:$V$63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терминалам'!$W$63:$X$63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2F-47F7-A74E-CC46FE4DFC5A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терминалам'!$U$64:$V$64</c:f>
              <c:numCache>
                <c:formatCode>General</c:formatCode>
                <c:ptCount val="2"/>
                <c:pt idx="0">
                  <c:v>0</c:v>
                </c:pt>
                <c:pt idx="1">
                  <c:v>28.578838324886465</c:v>
                </c:pt>
              </c:numCache>
            </c:numRef>
          </c:xVal>
          <c:yVal>
            <c:numRef>
              <c:f>'По терминалам'!$W$64:$X$64</c:f>
              <c:numCache>
                <c:formatCode>General</c:formatCode>
                <c:ptCount val="2"/>
                <c:pt idx="0">
                  <c:v>0</c:v>
                </c:pt>
                <c:pt idx="1">
                  <c:v>-16.500000000000014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2F-47F7-A74E-CC46FE4DFC5A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терминалам'!$U$65:$V$65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терминалам'!$W$65:$X$65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2F-47F7-A74E-CC46FE4DF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терминалам'!$U$59:$V$59</c:f>
              <c:numCache>
                <c:formatCode>General</c:formatCode>
                <c:ptCount val="2"/>
                <c:pt idx="0">
                  <c:v>0</c:v>
                </c:pt>
                <c:pt idx="1">
                  <c:v>0.24433369012197037</c:v>
                </c:pt>
              </c:numCache>
            </c:numRef>
          </c:xVal>
          <c:yVal>
            <c:numRef>
              <c:f>'По терминалам'!$W$59:$X$59</c:f>
              <c:numCache>
                <c:formatCode>General</c:formatCode>
                <c:ptCount val="2"/>
                <c:pt idx="0">
                  <c:v>0</c:v>
                </c:pt>
                <c:pt idx="1">
                  <c:v>13.997867732189478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35-4343-A253-518A9BF4AC7C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терминалам'!$U$60:$V$60</c:f>
              <c:numCache>
                <c:formatCode>General</c:formatCode>
                <c:ptCount val="2"/>
                <c:pt idx="0">
                  <c:v>0</c:v>
                </c:pt>
                <c:pt idx="1">
                  <c:v>12.361266300024976</c:v>
                </c:pt>
              </c:numCache>
            </c:numRef>
          </c:xVal>
          <c:yVal>
            <c:numRef>
              <c:f>'По терминалам'!$W$60:$X$60</c:f>
              <c:numCache>
                <c:formatCode>General</c:formatCode>
                <c:ptCount val="2"/>
                <c:pt idx="0">
                  <c:v>0</c:v>
                </c:pt>
                <c:pt idx="1">
                  <c:v>-6.5726018790024714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35-4343-A253-518A9BF4AC7C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терминалам'!$U$61:$V$61</c:f>
              <c:numCache>
                <c:formatCode>General</c:formatCode>
                <c:ptCount val="2"/>
                <c:pt idx="0">
                  <c:v>0</c:v>
                </c:pt>
                <c:pt idx="1">
                  <c:v>-12.47409133863715</c:v>
                </c:pt>
              </c:numCache>
            </c:numRef>
          </c:xVal>
          <c:yVal>
            <c:numRef>
              <c:f>'По терминалам'!$W$61:$X$61</c:f>
              <c:numCache>
                <c:formatCode>General</c:formatCode>
                <c:ptCount val="2"/>
                <c:pt idx="0">
                  <c:v>0</c:v>
                </c:pt>
                <c:pt idx="1">
                  <c:v>-6.3558669963536536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35-4343-A253-518A9BF4A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терминалам'!$U$67:$V$67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терминалам'!$W$67:$X$67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AA-46FC-881F-1D35424A8C1B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терминалам'!$U$68:$V$68</c:f>
              <c:numCache>
                <c:formatCode>General</c:formatCode>
                <c:ptCount val="2"/>
                <c:pt idx="0">
                  <c:v>0</c:v>
                </c:pt>
                <c:pt idx="1">
                  <c:v>28.578838324886465</c:v>
                </c:pt>
              </c:numCache>
            </c:numRef>
          </c:xVal>
          <c:yVal>
            <c:numRef>
              <c:f>'По терминалам'!$W$68:$X$68</c:f>
              <c:numCache>
                <c:formatCode>General</c:formatCode>
                <c:ptCount val="2"/>
                <c:pt idx="0">
                  <c:v>0</c:v>
                </c:pt>
                <c:pt idx="1">
                  <c:v>-16.500000000000014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AA-46FC-881F-1D35424A8C1B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терминалам'!$U$69:$V$69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терминалам'!$W$69:$X$69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AA-46FC-881F-1D35424A8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терминалам'!$U$71:$V$71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терминалам'!$W$71:$X$71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47-4BF7-A5C4-7F17E9CF4B5A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терминалам'!$U$72:$V$72</c:f>
              <c:numCache>
                <c:formatCode>General</c:formatCode>
                <c:ptCount val="2"/>
                <c:pt idx="0">
                  <c:v>0</c:v>
                </c:pt>
                <c:pt idx="1">
                  <c:v>28.578838324886465</c:v>
                </c:pt>
              </c:numCache>
            </c:numRef>
          </c:xVal>
          <c:yVal>
            <c:numRef>
              <c:f>'По терминалам'!$W$72:$X$72</c:f>
              <c:numCache>
                <c:formatCode>General</c:formatCode>
                <c:ptCount val="2"/>
                <c:pt idx="0">
                  <c:v>0</c:v>
                </c:pt>
                <c:pt idx="1">
                  <c:v>-16.500000000000014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47-4BF7-A5C4-7F17E9CF4B5A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терминалам'!$U$73:$V$73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терминалам'!$W$73:$X$73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47-4BF7-A5C4-7F17E9CF4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терминалам'!$U$75:$V$75</c:f>
              <c:numCache>
                <c:formatCode>General</c:formatCode>
                <c:ptCount val="2"/>
                <c:pt idx="0">
                  <c:v>0</c:v>
                </c:pt>
                <c:pt idx="1">
                  <c:v>0.54102459955579152</c:v>
                </c:pt>
              </c:numCache>
            </c:numRef>
          </c:xVal>
          <c:yVal>
            <c:numRef>
              <c:f>'По терминалам'!$W$75:$X$75</c:f>
              <c:numCache>
                <c:formatCode>General</c:formatCode>
                <c:ptCount val="2"/>
                <c:pt idx="0">
                  <c:v>0</c:v>
                </c:pt>
                <c:pt idx="1">
                  <c:v>30.99527854984813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89-4F0D-AAA4-0B04349A402C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терминалам'!$U$76:$V$76</c:f>
              <c:numCache>
                <c:formatCode>General</c:formatCode>
                <c:ptCount val="2"/>
                <c:pt idx="0">
                  <c:v>0</c:v>
                </c:pt>
                <c:pt idx="1">
                  <c:v>25.363971507042478</c:v>
                </c:pt>
              </c:numCache>
            </c:numRef>
          </c:xVal>
          <c:yVal>
            <c:numRef>
              <c:f>'По терминалам'!$W$76:$X$76</c:f>
              <c:numCache>
                <c:formatCode>General</c:formatCode>
                <c:ptCount val="2"/>
                <c:pt idx="0">
                  <c:v>0</c:v>
                </c:pt>
                <c:pt idx="1">
                  <c:v>-14.05947898714377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89-4F0D-AAA4-0B04349A402C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терминалам'!$U$77:$V$77</c:f>
              <c:numCache>
                <c:formatCode>General</c:formatCode>
                <c:ptCount val="2"/>
                <c:pt idx="0">
                  <c:v>0</c:v>
                </c:pt>
                <c:pt idx="1">
                  <c:v>-26.238591214181877</c:v>
                </c:pt>
              </c:numCache>
            </c:numRef>
          </c:xVal>
          <c:yVal>
            <c:numRef>
              <c:f>'По терминалам'!$W$77:$X$77</c:f>
              <c:numCache>
                <c:formatCode>General</c:formatCode>
                <c:ptCount val="2"/>
                <c:pt idx="0">
                  <c:v>0</c:v>
                </c:pt>
                <c:pt idx="1">
                  <c:v>-14.544288607390108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89-4F0D-AAA4-0B04349A4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терминалам'!$U$79:$V$79</c:f>
              <c:numCache>
                <c:formatCode>General</c:formatCode>
                <c:ptCount val="2"/>
                <c:pt idx="0">
                  <c:v>0</c:v>
                </c:pt>
                <c:pt idx="1">
                  <c:v>0.13951294748825047</c:v>
                </c:pt>
              </c:numCache>
            </c:numRef>
          </c:xVal>
          <c:yVal>
            <c:numRef>
              <c:f>'По терминалам'!$W$79:$X$79</c:f>
              <c:numCache>
                <c:formatCode>General</c:formatCode>
                <c:ptCount val="2"/>
                <c:pt idx="0">
                  <c:v>0</c:v>
                </c:pt>
                <c:pt idx="1">
                  <c:v>1.9951281005196484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8C-4F55-AD35-023A1BDBCFE4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терминалам'!$U$80:$V$80</c:f>
              <c:numCache>
                <c:formatCode>General</c:formatCode>
                <c:ptCount val="2"/>
                <c:pt idx="0">
                  <c:v>0</c:v>
                </c:pt>
                <c:pt idx="1">
                  <c:v>1.6580751451100837</c:v>
                </c:pt>
              </c:numCache>
            </c:numRef>
          </c:xVal>
          <c:yVal>
            <c:numRef>
              <c:f>'По терминалам'!$W$80:$X$80</c:f>
              <c:numCache>
                <c:formatCode>General</c:formatCode>
                <c:ptCount val="2"/>
                <c:pt idx="0">
                  <c:v>0</c:v>
                </c:pt>
                <c:pt idx="1">
                  <c:v>-1.1183858069414931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8C-4F55-AD35-023A1BDBCFE4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терминалам'!$U$81:$V$81</c:f>
              <c:numCache>
                <c:formatCode>General</c:formatCode>
                <c:ptCount val="2"/>
                <c:pt idx="0">
                  <c:v>0</c:v>
                </c:pt>
                <c:pt idx="1">
                  <c:v>-1.7320508075688772</c:v>
                </c:pt>
              </c:numCache>
            </c:numRef>
          </c:xVal>
          <c:yVal>
            <c:numRef>
              <c:f>'По терминалам'!$W$81:$X$81</c:f>
              <c:numCache>
                <c:formatCode>General</c:formatCode>
                <c:ptCount val="2"/>
                <c:pt idx="0">
                  <c:v>0</c:v>
                </c:pt>
                <c:pt idx="1">
                  <c:v>-1.0000000000000002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8C-4F55-AD35-023A1BDBC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терминалам'!$U$83:$V$83</c:f>
              <c:numCache>
                <c:formatCode>General</c:formatCode>
                <c:ptCount val="2"/>
                <c:pt idx="0">
                  <c:v>0</c:v>
                </c:pt>
                <c:pt idx="1">
                  <c:v>0.13951294748825047</c:v>
                </c:pt>
              </c:numCache>
            </c:numRef>
          </c:xVal>
          <c:yVal>
            <c:numRef>
              <c:f>'По терминалам'!$W$83:$X$83</c:f>
              <c:numCache>
                <c:formatCode>General</c:formatCode>
                <c:ptCount val="2"/>
                <c:pt idx="0">
                  <c:v>0</c:v>
                </c:pt>
                <c:pt idx="1">
                  <c:v>1.9951281005196484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A5-4572-A60A-8EEFA6792633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терминалам'!$U$84:$V$84</c:f>
              <c:numCache>
                <c:formatCode>General</c:formatCode>
                <c:ptCount val="2"/>
                <c:pt idx="0">
                  <c:v>0</c:v>
                </c:pt>
                <c:pt idx="1">
                  <c:v>1.6580751451100837</c:v>
                </c:pt>
              </c:numCache>
            </c:numRef>
          </c:xVal>
          <c:yVal>
            <c:numRef>
              <c:f>'По терминалам'!$W$84:$X$84</c:f>
              <c:numCache>
                <c:formatCode>General</c:formatCode>
                <c:ptCount val="2"/>
                <c:pt idx="0">
                  <c:v>0</c:v>
                </c:pt>
                <c:pt idx="1">
                  <c:v>-1.1183858069414931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A5-4572-A60A-8EEFA6792633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терминалам'!$U$85:$V$85</c:f>
              <c:numCache>
                <c:formatCode>General</c:formatCode>
                <c:ptCount val="2"/>
                <c:pt idx="0">
                  <c:v>0</c:v>
                </c:pt>
                <c:pt idx="1">
                  <c:v>-1.7320508075688772</c:v>
                </c:pt>
              </c:numCache>
            </c:numRef>
          </c:xVal>
          <c:yVal>
            <c:numRef>
              <c:f>'По терминалам'!$W$85:$X$85</c:f>
              <c:numCache>
                <c:formatCode>General</c:formatCode>
                <c:ptCount val="2"/>
                <c:pt idx="0">
                  <c:v>0</c:v>
                </c:pt>
                <c:pt idx="1">
                  <c:v>-1.0000000000000002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A5-4572-A60A-8EEFA6792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терминалам'!$U$91:$V$91</c:f>
              <c:numCache>
                <c:formatCode>General</c:formatCode>
                <c:ptCount val="2"/>
                <c:pt idx="0">
                  <c:v>0</c:v>
                </c:pt>
                <c:pt idx="1">
                  <c:v>8.5760391843603401E-16</c:v>
                </c:pt>
              </c:numCache>
            </c:numRef>
          </c:xVal>
          <c:yVal>
            <c:numRef>
              <c:f>'По терминалам'!$W$91:$X$91</c:f>
              <c:numCache>
                <c:formatCode>General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C5-4B56-A23A-F326C5881010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терминалам'!$U$92:$V$92</c:f>
              <c:numCache>
                <c:formatCode>General</c:formatCode>
                <c:ptCount val="2"/>
                <c:pt idx="0">
                  <c:v>0</c:v>
                </c:pt>
                <c:pt idx="1">
                  <c:v>12.244675899951542</c:v>
                </c:pt>
              </c:numCache>
            </c:numRef>
          </c:xVal>
          <c:yVal>
            <c:numRef>
              <c:f>'По терминалам'!$W$92:$X$92</c:f>
              <c:numCache>
                <c:formatCode>General</c:formatCode>
                <c:ptCount val="2"/>
                <c:pt idx="0">
                  <c:v>0</c:v>
                </c:pt>
                <c:pt idx="1">
                  <c:v>-6.7873346834487167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C5-4B56-A23A-F326C5881010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терминалам'!$U$93:$V$93</c:f>
              <c:numCache>
                <c:formatCode>General</c:formatCode>
                <c:ptCount val="2"/>
                <c:pt idx="0">
                  <c:v>0</c:v>
                </c:pt>
                <c:pt idx="1">
                  <c:v>-12.361266300024976</c:v>
                </c:pt>
              </c:numCache>
            </c:numRef>
          </c:xVal>
          <c:yVal>
            <c:numRef>
              <c:f>'По терминалам'!$W$93:$X$93</c:f>
              <c:numCache>
                <c:formatCode>General</c:formatCode>
                <c:ptCount val="2"/>
                <c:pt idx="0">
                  <c:v>0</c:v>
                </c:pt>
                <c:pt idx="1">
                  <c:v>-6.5726018790024723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C5-4B56-A23A-F326C5881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терминалам'!$U$95:$V$95</c:f>
              <c:numCache>
                <c:formatCode>General</c:formatCode>
                <c:ptCount val="2"/>
                <c:pt idx="0">
                  <c:v>0</c:v>
                </c:pt>
                <c:pt idx="1">
                  <c:v>0.54102459955579152</c:v>
                </c:pt>
              </c:numCache>
            </c:numRef>
          </c:xVal>
          <c:yVal>
            <c:numRef>
              <c:f>'По терминалам'!$W$95:$X$95</c:f>
              <c:numCache>
                <c:formatCode>General</c:formatCode>
                <c:ptCount val="2"/>
                <c:pt idx="0">
                  <c:v>0</c:v>
                </c:pt>
                <c:pt idx="1">
                  <c:v>30.99527854984813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8-4362-A291-14A87C372A79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терминалам'!$U$96:$V$96</c:f>
              <c:numCache>
                <c:formatCode>General</c:formatCode>
                <c:ptCount val="2"/>
                <c:pt idx="0">
                  <c:v>0</c:v>
                </c:pt>
                <c:pt idx="1">
                  <c:v>25.363971507042478</c:v>
                </c:pt>
              </c:numCache>
            </c:numRef>
          </c:xVal>
          <c:yVal>
            <c:numRef>
              <c:f>'По терминалам'!$W$96:$X$96</c:f>
              <c:numCache>
                <c:formatCode>General</c:formatCode>
                <c:ptCount val="2"/>
                <c:pt idx="0">
                  <c:v>0</c:v>
                </c:pt>
                <c:pt idx="1">
                  <c:v>-14.05947898714377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8-4362-A291-14A87C372A79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терминалам'!$U$97:$V$97</c:f>
              <c:numCache>
                <c:formatCode>General</c:formatCode>
                <c:ptCount val="2"/>
                <c:pt idx="0">
                  <c:v>0</c:v>
                </c:pt>
                <c:pt idx="1">
                  <c:v>-26.238591214181877</c:v>
                </c:pt>
              </c:numCache>
            </c:numRef>
          </c:xVal>
          <c:yVal>
            <c:numRef>
              <c:f>'По терминалам'!$W$97:$X$97</c:f>
              <c:numCache>
                <c:formatCode>General</c:formatCode>
                <c:ptCount val="2"/>
                <c:pt idx="0">
                  <c:v>0</c:v>
                </c:pt>
                <c:pt idx="1">
                  <c:v>-14.544288607390108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8-4362-A291-14A87C37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терминалам'!$U$99:$V$99</c:f>
              <c:numCache>
                <c:formatCode>General</c:formatCode>
                <c:ptCount val="2"/>
                <c:pt idx="0">
                  <c:v>0</c:v>
                </c:pt>
                <c:pt idx="1">
                  <c:v>0.55847700599307515</c:v>
                </c:pt>
              </c:numCache>
            </c:numRef>
          </c:xVal>
          <c:yVal>
            <c:numRef>
              <c:f>'По терминалам'!$W$99:$X$99</c:f>
              <c:numCache>
                <c:formatCode>General</c:formatCode>
                <c:ptCount val="2"/>
                <c:pt idx="0">
                  <c:v>0</c:v>
                </c:pt>
                <c:pt idx="1">
                  <c:v>31.995126245004521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A1-456F-9ADA-C2D324981971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терминалам'!$U$100:$V$100</c:f>
              <c:numCache>
                <c:formatCode>General</c:formatCode>
                <c:ptCount val="2"/>
                <c:pt idx="0">
                  <c:v>0</c:v>
                </c:pt>
                <c:pt idx="1">
                  <c:v>29.737070042739457</c:v>
                </c:pt>
              </c:numCache>
            </c:numRef>
          </c:xVal>
          <c:yVal>
            <c:numRef>
              <c:f>'По терминалам'!$W$100:$X$100</c:f>
              <c:numCache>
                <c:formatCode>General</c:formatCode>
                <c:ptCount val="2"/>
                <c:pt idx="0">
                  <c:v>0</c:v>
                </c:pt>
                <c:pt idx="1">
                  <c:v>-16.483527088375453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A1-456F-9ADA-C2D324981971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терминалам'!$U$101:$V$101</c:f>
              <c:numCache>
                <c:formatCode>General</c:formatCode>
                <c:ptCount val="2"/>
                <c:pt idx="0">
                  <c:v>0</c:v>
                </c:pt>
                <c:pt idx="1">
                  <c:v>-27.371375378626734</c:v>
                </c:pt>
              </c:numCache>
            </c:numRef>
          </c:xVal>
          <c:yVal>
            <c:numRef>
              <c:f>'По терминалам'!$W$101:$X$101</c:f>
              <c:numCache>
                <c:formatCode>General</c:formatCode>
                <c:ptCount val="2"/>
                <c:pt idx="0">
                  <c:v>0</c:v>
                </c:pt>
                <c:pt idx="1">
                  <c:v>-14.553618446362616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A1-456F-9ADA-C2D324981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терминалам'!$U$103:$V$103</c:f>
              <c:numCache>
                <c:formatCode>General</c:formatCode>
                <c:ptCount val="2"/>
                <c:pt idx="0">
                  <c:v>0</c:v>
                </c:pt>
                <c:pt idx="1">
                  <c:v>-0.52357219311850434</c:v>
                </c:pt>
              </c:numCache>
            </c:numRef>
          </c:xVal>
          <c:yVal>
            <c:numRef>
              <c:f>'По терминалам'!$W$103:$X$103</c:f>
              <c:numCache>
                <c:formatCode>General</c:formatCode>
                <c:ptCount val="2"/>
                <c:pt idx="0">
                  <c:v>0</c:v>
                </c:pt>
                <c:pt idx="1">
                  <c:v>29.995430854691737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49-432E-B362-C9286E2EE6CA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терминалам'!$U$104:$V$104</c:f>
              <c:numCache>
                <c:formatCode>General</c:formatCode>
                <c:ptCount val="2"/>
                <c:pt idx="0">
                  <c:v>0</c:v>
                </c:pt>
                <c:pt idx="1">
                  <c:v>28.25432297148566</c:v>
                </c:pt>
              </c:numCache>
            </c:numRef>
          </c:xVal>
          <c:yVal>
            <c:numRef>
              <c:f>'По терминалам'!$W$104:$X$104</c:f>
              <c:numCache>
                <c:formatCode>General</c:formatCode>
                <c:ptCount val="2"/>
                <c:pt idx="0">
                  <c:v>0</c:v>
                </c:pt>
                <c:pt idx="1">
                  <c:v>-15.023090009148506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49-432E-B362-C9286E2EE6CA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терминалам'!$U$105:$V$105</c:f>
              <c:numCache>
                <c:formatCode>General</c:formatCode>
                <c:ptCount val="2"/>
                <c:pt idx="0">
                  <c:v>0</c:v>
                </c:pt>
                <c:pt idx="1">
                  <c:v>-26.846787517317598</c:v>
                </c:pt>
              </c:numCache>
            </c:numRef>
          </c:xVal>
          <c:yVal>
            <c:numRef>
              <c:f>'По терминалам'!$W$105:$X$105</c:f>
              <c:numCache>
                <c:formatCode>General</c:formatCode>
                <c:ptCount val="2"/>
                <c:pt idx="0">
                  <c:v>0</c:v>
                </c:pt>
                <c:pt idx="1">
                  <c:v>-15.500000000000004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49-432E-B362-C9286E2EE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терминалам'!$U$109:$V$109</c:f>
              <c:numCache>
                <c:formatCode>General</c:formatCode>
                <c:ptCount val="2"/>
                <c:pt idx="0">
                  <c:v>0</c:v>
                </c:pt>
                <c:pt idx="1">
                  <c:v>-0.19197647081011826</c:v>
                </c:pt>
              </c:numCache>
            </c:numRef>
          </c:xVal>
          <c:yVal>
            <c:numRef>
              <c:f>'По терминалам'!$W$109:$X$109</c:f>
              <c:numCache>
                <c:formatCode>General</c:formatCode>
                <c:ptCount val="2"/>
                <c:pt idx="0">
                  <c:v>0</c:v>
                </c:pt>
                <c:pt idx="1">
                  <c:v>10.998324646720304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8C-4EE1-8FBC-85160539563D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терминалам'!$U$110:$V$110</c:f>
              <c:numCache>
                <c:formatCode>General</c:formatCode>
                <c:ptCount val="2"/>
                <c:pt idx="0">
                  <c:v>0</c:v>
                </c:pt>
                <c:pt idx="1">
                  <c:v>10.39230484541326</c:v>
                </c:pt>
              </c:numCache>
            </c:numRef>
          </c:xVal>
          <c:yVal>
            <c:numRef>
              <c:f>'По терминалам'!$W$110:$X$110</c:f>
              <c:numCache>
                <c:formatCode>General</c:formatCode>
                <c:ptCount val="2"/>
                <c:pt idx="0">
                  <c:v>0</c:v>
                </c:pt>
                <c:pt idx="1">
                  <c:v>-6.0000000000000053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8C-4EE1-8FBC-85160539563D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терминалам'!$U$111:$V$111</c:f>
              <c:numCache>
                <c:formatCode>General</c:formatCode>
                <c:ptCount val="2"/>
                <c:pt idx="0">
                  <c:v>0</c:v>
                </c:pt>
                <c:pt idx="1">
                  <c:v>-10.595371114307122</c:v>
                </c:pt>
              </c:numCache>
            </c:numRef>
          </c:xVal>
          <c:yVal>
            <c:numRef>
              <c:f>'По терминалам'!$W$111:$X$111</c:f>
              <c:numCache>
                <c:formatCode>General</c:formatCode>
                <c:ptCount val="2"/>
                <c:pt idx="0">
                  <c:v>0</c:v>
                </c:pt>
                <c:pt idx="1">
                  <c:v>-5.6336587534306908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8C-4EE1-8FBC-851605395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терминалам'!$U$113:$V$113</c:f>
              <c:numCache>
                <c:formatCode>General</c:formatCode>
                <c:ptCount val="2"/>
                <c:pt idx="0">
                  <c:v>0</c:v>
                </c:pt>
                <c:pt idx="1">
                  <c:v>0.3838944637275119</c:v>
                </c:pt>
              </c:numCache>
            </c:numRef>
          </c:xVal>
          <c:yVal>
            <c:numRef>
              <c:f>'По терминалам'!$W$113:$X$113</c:f>
              <c:numCache>
                <c:formatCode>General</c:formatCode>
                <c:ptCount val="2"/>
                <c:pt idx="0">
                  <c:v>0</c:v>
                </c:pt>
                <c:pt idx="1">
                  <c:v>10.993299097210054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A9-43FB-B02B-7582C2D440A6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терминалам'!$U$114:$V$114</c:f>
              <c:numCache>
                <c:formatCode>General</c:formatCode>
                <c:ptCount val="2"/>
                <c:pt idx="0">
                  <c:v>0</c:v>
                </c:pt>
                <c:pt idx="1">
                  <c:v>10.39230484541326</c:v>
                </c:pt>
              </c:numCache>
            </c:numRef>
          </c:xVal>
          <c:yVal>
            <c:numRef>
              <c:f>'По терминалам'!$W$114:$X$114</c:f>
              <c:numCache>
                <c:formatCode>General</c:formatCode>
                <c:ptCount val="2"/>
                <c:pt idx="0">
                  <c:v>0</c:v>
                </c:pt>
                <c:pt idx="1">
                  <c:v>-6.0000000000000053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A9-43FB-B02B-7582C2D440A6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терминалам'!$U$115:$V$115</c:f>
              <c:numCache>
                <c:formatCode>General</c:formatCode>
                <c:ptCount val="2"/>
                <c:pt idx="0">
                  <c:v>0</c:v>
                </c:pt>
                <c:pt idx="1">
                  <c:v>-10.49543648567275</c:v>
                </c:pt>
              </c:numCache>
            </c:numRef>
          </c:xVal>
          <c:yVal>
            <c:numRef>
              <c:f>'По терминалам'!$W$115:$X$115</c:f>
              <c:numCache>
                <c:formatCode>General</c:formatCode>
                <c:ptCount val="2"/>
                <c:pt idx="0">
                  <c:v>0</c:v>
                </c:pt>
                <c:pt idx="1">
                  <c:v>-5.8177154429560431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A9-43FB-B02B-7582C2D44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терминалам'!$U$117:$V$117</c:f>
              <c:numCache>
                <c:formatCode>General</c:formatCode>
                <c:ptCount val="2"/>
                <c:pt idx="0">
                  <c:v>0</c:v>
                </c:pt>
                <c:pt idx="1">
                  <c:v>6.7383165019974101E-16</c:v>
                </c:pt>
              </c:numCache>
            </c:numRef>
          </c:xVal>
          <c:yVal>
            <c:numRef>
              <c:f>'По терминалам'!$W$117:$X$117</c:f>
              <c:numCache>
                <c:formatCode>General</c:formatCode>
                <c:ptCount val="2"/>
                <c:pt idx="0">
                  <c:v>0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77-4840-875B-9B453F5E32C2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терминалам'!$U$118:$V$118</c:f>
              <c:numCache>
                <c:formatCode>General</c:formatCode>
                <c:ptCount val="2"/>
                <c:pt idx="0">
                  <c:v>0</c:v>
                </c:pt>
                <c:pt idx="1">
                  <c:v>10.39230484541326</c:v>
                </c:pt>
              </c:numCache>
            </c:numRef>
          </c:xVal>
          <c:yVal>
            <c:numRef>
              <c:f>'По терминалам'!$W$118:$X$118</c:f>
              <c:numCache>
                <c:formatCode>General</c:formatCode>
                <c:ptCount val="2"/>
                <c:pt idx="0">
                  <c:v>0</c:v>
                </c:pt>
                <c:pt idx="1">
                  <c:v>-6.0000000000000053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77-4840-875B-9B453F5E32C2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терминалам'!$U$119:$V$119</c:f>
              <c:numCache>
                <c:formatCode>General</c:formatCode>
                <c:ptCount val="2"/>
                <c:pt idx="0">
                  <c:v>0</c:v>
                </c:pt>
                <c:pt idx="1">
                  <c:v>-10.595371114307122</c:v>
                </c:pt>
              </c:numCache>
            </c:numRef>
          </c:xVal>
          <c:yVal>
            <c:numRef>
              <c:f>'По терминалам'!$W$119:$X$119</c:f>
              <c:numCache>
                <c:formatCode>General</c:formatCode>
                <c:ptCount val="2"/>
                <c:pt idx="0">
                  <c:v>0</c:v>
                </c:pt>
                <c:pt idx="1">
                  <c:v>-5.6336587534306908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77-4840-875B-9B453F5E3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терминалам'!$U$121:$V$121</c:f>
              <c:numCache>
                <c:formatCode>General</c:formatCode>
                <c:ptCount val="2"/>
                <c:pt idx="0">
                  <c:v>0</c:v>
                </c:pt>
                <c:pt idx="1">
                  <c:v>0.3838944637275119</c:v>
                </c:pt>
              </c:numCache>
            </c:numRef>
          </c:xVal>
          <c:yVal>
            <c:numRef>
              <c:f>'По терминалам'!$W$121:$X$121</c:f>
              <c:numCache>
                <c:formatCode>General</c:formatCode>
                <c:ptCount val="2"/>
                <c:pt idx="0">
                  <c:v>0</c:v>
                </c:pt>
                <c:pt idx="1">
                  <c:v>10.993299097210054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79-4C15-8D27-5DEF9616A1B9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терминалам'!$U$122:$V$122</c:f>
              <c:numCache>
                <c:formatCode>General</c:formatCode>
                <c:ptCount val="2"/>
                <c:pt idx="0">
                  <c:v>0</c:v>
                </c:pt>
                <c:pt idx="1">
                  <c:v>10.39230484541326</c:v>
                </c:pt>
              </c:numCache>
            </c:numRef>
          </c:xVal>
          <c:yVal>
            <c:numRef>
              <c:f>'По терминалам'!$W$122:$X$122</c:f>
              <c:numCache>
                <c:formatCode>General</c:formatCode>
                <c:ptCount val="2"/>
                <c:pt idx="0">
                  <c:v>0</c:v>
                </c:pt>
                <c:pt idx="1">
                  <c:v>-6.0000000000000053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79-4C15-8D27-5DEF9616A1B9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терминалам'!$U$123:$V$123</c:f>
              <c:numCache>
                <c:formatCode>General</c:formatCode>
                <c:ptCount val="2"/>
                <c:pt idx="0">
                  <c:v>0</c:v>
                </c:pt>
                <c:pt idx="1">
                  <c:v>-10.064046815345089</c:v>
                </c:pt>
              </c:numCache>
            </c:numRef>
          </c:xVal>
          <c:yVal>
            <c:numRef>
              <c:f>'По терминалам'!$W$123:$X$123</c:f>
              <c:numCache>
                <c:formatCode>General</c:formatCode>
                <c:ptCount val="2"/>
                <c:pt idx="0">
                  <c:v>0</c:v>
                </c:pt>
                <c:pt idx="1">
                  <c:v>-6.5356684201803255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79-4C15-8D27-5DEF9616A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терминалам'!$U$125:$V$125</c:f>
              <c:numCache>
                <c:formatCode>General</c:formatCode>
                <c:ptCount val="2"/>
                <c:pt idx="0">
                  <c:v>0</c:v>
                </c:pt>
                <c:pt idx="1">
                  <c:v>6.7383165019974101E-16</c:v>
                </c:pt>
              </c:numCache>
            </c:numRef>
          </c:xVal>
          <c:yVal>
            <c:numRef>
              <c:f>'По терминалам'!$W$125:$X$125</c:f>
              <c:numCache>
                <c:formatCode>General</c:formatCode>
                <c:ptCount val="2"/>
                <c:pt idx="0">
                  <c:v>0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C-428E-BF94-A7CBD045761E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терминалам'!$U$126:$V$126</c:f>
              <c:numCache>
                <c:formatCode>General</c:formatCode>
                <c:ptCount val="2"/>
                <c:pt idx="0">
                  <c:v>0</c:v>
                </c:pt>
                <c:pt idx="1">
                  <c:v>10.49543648567275</c:v>
                </c:pt>
              </c:numCache>
            </c:numRef>
          </c:xVal>
          <c:yVal>
            <c:numRef>
              <c:f>'По терминалам'!$W$126:$X$126</c:f>
              <c:numCache>
                <c:formatCode>General</c:formatCode>
                <c:ptCount val="2"/>
                <c:pt idx="0">
                  <c:v>0</c:v>
                </c:pt>
                <c:pt idx="1">
                  <c:v>-5.8177154429560431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C-428E-BF94-A7CBD045761E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терминалам'!$U$127:$V$127</c:f>
              <c:numCache>
                <c:formatCode>General</c:formatCode>
                <c:ptCount val="2"/>
                <c:pt idx="0">
                  <c:v>0</c:v>
                </c:pt>
                <c:pt idx="1">
                  <c:v>-10.595371114307122</c:v>
                </c:pt>
              </c:numCache>
            </c:numRef>
          </c:xVal>
          <c:yVal>
            <c:numRef>
              <c:f>'По терминалам'!$W$127:$X$127</c:f>
              <c:numCache>
                <c:formatCode>General</c:formatCode>
                <c:ptCount val="2"/>
                <c:pt idx="0">
                  <c:v>0</c:v>
                </c:pt>
                <c:pt idx="1">
                  <c:v>-5.6336587534306908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C-428E-BF94-A7CBD0457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терминалам'!$U$129:$V$129</c:f>
              <c:numCache>
                <c:formatCode>General</c:formatCode>
                <c:ptCount val="2"/>
                <c:pt idx="0">
                  <c:v>0</c:v>
                </c:pt>
                <c:pt idx="1">
                  <c:v>-0.19197647081011826</c:v>
                </c:pt>
              </c:numCache>
            </c:numRef>
          </c:xVal>
          <c:yVal>
            <c:numRef>
              <c:f>'По терминалам'!$W$129:$X$129</c:f>
              <c:numCache>
                <c:formatCode>General</c:formatCode>
                <c:ptCount val="2"/>
                <c:pt idx="0">
                  <c:v>0</c:v>
                </c:pt>
                <c:pt idx="1">
                  <c:v>10.998324646720304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F5-47B1-8018-1C840CB20D06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терминалам'!$U$130:$V$130</c:f>
              <c:numCache>
                <c:formatCode>General</c:formatCode>
                <c:ptCount val="2"/>
                <c:pt idx="0">
                  <c:v>0</c:v>
                </c:pt>
                <c:pt idx="1">
                  <c:v>10.39230484541326</c:v>
                </c:pt>
              </c:numCache>
            </c:numRef>
          </c:xVal>
          <c:yVal>
            <c:numRef>
              <c:f>'По терминалам'!$W$130:$X$130</c:f>
              <c:numCache>
                <c:formatCode>General</c:formatCode>
                <c:ptCount val="2"/>
                <c:pt idx="0">
                  <c:v>0</c:v>
                </c:pt>
                <c:pt idx="1">
                  <c:v>-6.0000000000000053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F5-47B1-8018-1C840CB20D06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терминалам'!$U$131:$V$131</c:f>
              <c:numCache>
                <c:formatCode>General</c:formatCode>
                <c:ptCount val="2"/>
                <c:pt idx="0">
                  <c:v>0</c:v>
                </c:pt>
                <c:pt idx="1">
                  <c:v>-10.595371114307122</c:v>
                </c:pt>
              </c:numCache>
            </c:numRef>
          </c:xVal>
          <c:yVal>
            <c:numRef>
              <c:f>'По терминалам'!$W$131:$X$131</c:f>
              <c:numCache>
                <c:formatCode>General</c:formatCode>
                <c:ptCount val="2"/>
                <c:pt idx="0">
                  <c:v>0</c:v>
                </c:pt>
                <c:pt idx="1">
                  <c:v>-5.6336587534306908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F5-47B1-8018-1C840CB20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терминалам'!$U$133:$V$133</c:f>
              <c:numCache>
                <c:formatCode>General</c:formatCode>
                <c:ptCount val="2"/>
                <c:pt idx="0">
                  <c:v>0</c:v>
                </c:pt>
                <c:pt idx="1">
                  <c:v>0.3838944637275119</c:v>
                </c:pt>
              </c:numCache>
            </c:numRef>
          </c:xVal>
          <c:yVal>
            <c:numRef>
              <c:f>'По терминалам'!$W$133:$X$133</c:f>
              <c:numCache>
                <c:formatCode>General</c:formatCode>
                <c:ptCount val="2"/>
                <c:pt idx="0">
                  <c:v>0</c:v>
                </c:pt>
                <c:pt idx="1">
                  <c:v>10.993299097210054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C8-47D7-B60F-523DD7227075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терминалам'!$U$134:$V$134</c:f>
              <c:numCache>
                <c:formatCode>General</c:formatCode>
                <c:ptCount val="2"/>
                <c:pt idx="0">
                  <c:v>0</c:v>
                </c:pt>
                <c:pt idx="1">
                  <c:v>10.39230484541326</c:v>
                </c:pt>
              </c:numCache>
            </c:numRef>
          </c:xVal>
          <c:yVal>
            <c:numRef>
              <c:f>'По терминалам'!$W$134:$X$134</c:f>
              <c:numCache>
                <c:formatCode>General</c:formatCode>
                <c:ptCount val="2"/>
                <c:pt idx="0">
                  <c:v>0</c:v>
                </c:pt>
                <c:pt idx="1">
                  <c:v>-6.0000000000000053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C8-47D7-B60F-523DD7227075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терминалам'!$U$135:$V$135</c:f>
              <c:numCache>
                <c:formatCode>General</c:formatCode>
                <c:ptCount val="2"/>
                <c:pt idx="0">
                  <c:v>0</c:v>
                </c:pt>
                <c:pt idx="1">
                  <c:v>-10.064046815345089</c:v>
                </c:pt>
              </c:numCache>
            </c:numRef>
          </c:xVal>
          <c:yVal>
            <c:numRef>
              <c:f>'По терминалам'!$W$135:$X$135</c:f>
              <c:numCache>
                <c:formatCode>General</c:formatCode>
                <c:ptCount val="2"/>
                <c:pt idx="0">
                  <c:v>0</c:v>
                </c:pt>
                <c:pt idx="1">
                  <c:v>-6.5356684201803255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C8-47D7-B60F-523DD7227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17326081810626E-2"/>
          <c:y val="4.4654631585685937E-2"/>
          <c:w val="0.66126088023413321"/>
          <c:h val="0.91069073682862811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терминалам'!$U$15:$V$15</c:f>
              <c:numCache>
                <c:formatCode>General</c:formatCode>
                <c:ptCount val="2"/>
                <c:pt idx="0">
                  <c:v>0</c:v>
                </c:pt>
                <c:pt idx="1">
                  <c:v>1.960237527853792E-15</c:v>
                </c:pt>
              </c:numCache>
            </c:numRef>
          </c:xVal>
          <c:yVal>
            <c:numRef>
              <c:f>'По терминалам'!$W$15:$X$15</c:f>
              <c:numCache>
                <c:formatCode>General</c:formatCode>
                <c:ptCount val="2"/>
                <c:pt idx="0">
                  <c:v>0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79-4A46-A883-32534FA5F3EA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терминалам'!$U$16:$V$16</c:f>
              <c:numCache>
                <c:formatCode>General</c:formatCode>
                <c:ptCount val="2"/>
                <c:pt idx="0">
                  <c:v>0</c:v>
                </c:pt>
                <c:pt idx="1">
                  <c:v>28.578838324886465</c:v>
                </c:pt>
              </c:numCache>
            </c:numRef>
          </c:xVal>
          <c:yVal>
            <c:numRef>
              <c:f>'По терминалам'!$W$16:$X$16</c:f>
              <c:numCache>
                <c:formatCode>General</c:formatCode>
                <c:ptCount val="2"/>
                <c:pt idx="0">
                  <c:v>0</c:v>
                </c:pt>
                <c:pt idx="1">
                  <c:v>-16.500000000000014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79-4A46-A883-32534FA5F3EA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'По терминалам'!$U$17:$V$17</c:f>
              <c:numCache>
                <c:formatCode>General</c:formatCode>
                <c:ptCount val="2"/>
                <c:pt idx="0">
                  <c:v>0</c:v>
                </c:pt>
                <c:pt idx="1">
                  <c:v>-29.137270564344586</c:v>
                </c:pt>
              </c:numCache>
            </c:numRef>
          </c:xVal>
          <c:yVal>
            <c:numRef>
              <c:f>'По терминалам'!$W$17:$X$17</c:f>
              <c:numCache>
                <c:formatCode>General</c:formatCode>
                <c:ptCount val="2"/>
                <c:pt idx="0">
                  <c:v>0</c:v>
                </c:pt>
                <c:pt idx="1">
                  <c:v>-15.492561571934399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79-4A46-A883-32534FA5F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19376"/>
        <c:axId val="1761808304"/>
      </c:scatterChart>
      <c:valAx>
        <c:axId val="197041937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1808304"/>
        <c:crosses val="autoZero"/>
        <c:crossBetween val="midCat"/>
        <c:majorUnit val="2"/>
      </c:valAx>
      <c:valAx>
        <c:axId val="1761808304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0419376"/>
        <c:crosses val="autoZero"/>
        <c:crossBetween val="midCat"/>
        <c:majorUnit val="2"/>
      </c:valAx>
      <c:spPr>
        <a:noFill/>
        <a:ln>
          <a:noFill/>
        </a:ln>
        <a:effectLst>
          <a:glow rad="63500">
            <a:schemeClr val="accent1"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80963</xdr:colOff>
      <xdr:row>11</xdr:row>
      <xdr:rowOff>14287</xdr:rowOff>
    </xdr:from>
    <xdr:to>
      <xdr:col>27</xdr:col>
      <xdr:colOff>257175</xdr:colOff>
      <xdr:row>19</xdr:row>
      <xdr:rowOff>14287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342900</xdr:colOff>
      <xdr:row>6</xdr:row>
      <xdr:rowOff>180975</xdr:rowOff>
    </xdr:from>
    <xdr:to>
      <xdr:col>30</xdr:col>
      <xdr:colOff>519112</xdr:colOff>
      <xdr:row>14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342900</xdr:colOff>
      <xdr:row>14</xdr:row>
      <xdr:rowOff>76200</xdr:rowOff>
    </xdr:from>
    <xdr:to>
      <xdr:col>30</xdr:col>
      <xdr:colOff>519112</xdr:colOff>
      <xdr:row>22</xdr:row>
      <xdr:rowOff>76200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26</xdr:row>
      <xdr:rowOff>138112</xdr:rowOff>
    </xdr:from>
    <xdr:to>
      <xdr:col>30</xdr:col>
      <xdr:colOff>528637</xdr:colOff>
      <xdr:row>34</xdr:row>
      <xdr:rowOff>147637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52387</xdr:colOff>
      <xdr:row>21</xdr:row>
      <xdr:rowOff>142875</xdr:rowOff>
    </xdr:from>
    <xdr:to>
      <xdr:col>27</xdr:col>
      <xdr:colOff>228599</xdr:colOff>
      <xdr:row>29</xdr:row>
      <xdr:rowOff>142875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80962</xdr:colOff>
      <xdr:row>30</xdr:row>
      <xdr:rowOff>38100</xdr:rowOff>
    </xdr:from>
    <xdr:to>
      <xdr:col>27</xdr:col>
      <xdr:colOff>257174</xdr:colOff>
      <xdr:row>38</xdr:row>
      <xdr:rowOff>28575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47625</xdr:colOff>
      <xdr:row>39</xdr:row>
      <xdr:rowOff>109537</xdr:rowOff>
    </xdr:from>
    <xdr:to>
      <xdr:col>27</xdr:col>
      <xdr:colOff>223837</xdr:colOff>
      <xdr:row>47</xdr:row>
      <xdr:rowOff>109537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309562</xdr:colOff>
      <xdr:row>34</xdr:row>
      <xdr:rowOff>114300</xdr:rowOff>
    </xdr:from>
    <xdr:to>
      <xdr:col>30</xdr:col>
      <xdr:colOff>485774</xdr:colOff>
      <xdr:row>42</xdr:row>
      <xdr:rowOff>95250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309562</xdr:colOff>
      <xdr:row>42</xdr:row>
      <xdr:rowOff>171450</xdr:rowOff>
    </xdr:from>
    <xdr:to>
      <xdr:col>30</xdr:col>
      <xdr:colOff>485774</xdr:colOff>
      <xdr:row>50</xdr:row>
      <xdr:rowOff>171450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95250</xdr:colOff>
      <xdr:row>47</xdr:row>
      <xdr:rowOff>171450</xdr:rowOff>
    </xdr:from>
    <xdr:to>
      <xdr:col>27</xdr:col>
      <xdr:colOff>271462</xdr:colOff>
      <xdr:row>55</xdr:row>
      <xdr:rowOff>171450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9525</xdr:colOff>
      <xdr:row>59</xdr:row>
      <xdr:rowOff>138112</xdr:rowOff>
    </xdr:from>
    <xdr:to>
      <xdr:col>27</xdr:col>
      <xdr:colOff>185737</xdr:colOff>
      <xdr:row>67</xdr:row>
      <xdr:rowOff>138112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271462</xdr:colOff>
      <xdr:row>54</xdr:row>
      <xdr:rowOff>133350</xdr:rowOff>
    </xdr:from>
    <xdr:to>
      <xdr:col>30</xdr:col>
      <xdr:colOff>447674</xdr:colOff>
      <xdr:row>62</xdr:row>
      <xdr:rowOff>123825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271462</xdr:colOff>
      <xdr:row>63</xdr:row>
      <xdr:rowOff>9525</xdr:rowOff>
    </xdr:from>
    <xdr:to>
      <xdr:col>30</xdr:col>
      <xdr:colOff>447674</xdr:colOff>
      <xdr:row>71</xdr:row>
      <xdr:rowOff>9525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24</xdr:col>
      <xdr:colOff>28575</xdr:colOff>
      <xdr:row>67</xdr:row>
      <xdr:rowOff>133350</xdr:rowOff>
    </xdr:from>
    <xdr:to>
      <xdr:col>27</xdr:col>
      <xdr:colOff>204787</xdr:colOff>
      <xdr:row>75</xdr:row>
      <xdr:rowOff>133350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290512</xdr:colOff>
      <xdr:row>71</xdr:row>
      <xdr:rowOff>4763</xdr:rowOff>
    </xdr:from>
    <xdr:to>
      <xdr:col>30</xdr:col>
      <xdr:colOff>466724</xdr:colOff>
      <xdr:row>79</xdr:row>
      <xdr:rowOff>4763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76200</xdr:colOff>
      <xdr:row>76</xdr:row>
      <xdr:rowOff>4763</xdr:rowOff>
    </xdr:from>
    <xdr:to>
      <xdr:col>27</xdr:col>
      <xdr:colOff>252412</xdr:colOff>
      <xdr:row>84</xdr:row>
      <xdr:rowOff>4763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27</xdr:col>
      <xdr:colOff>299575</xdr:colOff>
      <xdr:row>79</xdr:row>
      <xdr:rowOff>96954</xdr:rowOff>
    </xdr:from>
    <xdr:to>
      <xdr:col>30</xdr:col>
      <xdr:colOff>467992</xdr:colOff>
      <xdr:row>87</xdr:row>
      <xdr:rowOff>96954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74057</xdr:colOff>
      <xdr:row>86</xdr:row>
      <xdr:rowOff>178318</xdr:rowOff>
    </xdr:from>
    <xdr:to>
      <xdr:col>27</xdr:col>
      <xdr:colOff>250269</xdr:colOff>
      <xdr:row>94</xdr:row>
      <xdr:rowOff>170035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288856</xdr:colOff>
      <xdr:row>90</xdr:row>
      <xdr:rowOff>66261</xdr:rowOff>
    </xdr:from>
    <xdr:to>
      <xdr:col>30</xdr:col>
      <xdr:colOff>465068</xdr:colOff>
      <xdr:row>98</xdr:row>
      <xdr:rowOff>66260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74544</xdr:colOff>
      <xdr:row>95</xdr:row>
      <xdr:rowOff>66261</xdr:rowOff>
    </xdr:from>
    <xdr:to>
      <xdr:col>27</xdr:col>
      <xdr:colOff>250756</xdr:colOff>
      <xdr:row>103</xdr:row>
      <xdr:rowOff>66260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27</xdr:col>
      <xdr:colOff>314325</xdr:colOff>
      <xdr:row>99</xdr:row>
      <xdr:rowOff>57150</xdr:rowOff>
    </xdr:from>
    <xdr:to>
      <xdr:col>30</xdr:col>
      <xdr:colOff>490537</xdr:colOff>
      <xdr:row>107</xdr:row>
      <xdr:rowOff>57149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24</xdr:col>
      <xdr:colOff>66675</xdr:colOff>
      <xdr:row>105</xdr:row>
      <xdr:rowOff>76200</xdr:rowOff>
    </xdr:from>
    <xdr:to>
      <xdr:col>27</xdr:col>
      <xdr:colOff>242887</xdr:colOff>
      <xdr:row>113</xdr:row>
      <xdr:rowOff>85724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27</xdr:col>
      <xdr:colOff>277881</xdr:colOff>
      <xdr:row>109</xdr:row>
      <xdr:rowOff>162339</xdr:rowOff>
    </xdr:from>
    <xdr:to>
      <xdr:col>30</xdr:col>
      <xdr:colOff>454093</xdr:colOff>
      <xdr:row>117</xdr:row>
      <xdr:rowOff>171863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24</xdr:col>
      <xdr:colOff>66675</xdr:colOff>
      <xdr:row>113</xdr:row>
      <xdr:rowOff>47625</xdr:rowOff>
    </xdr:from>
    <xdr:to>
      <xdr:col>27</xdr:col>
      <xdr:colOff>242887</xdr:colOff>
      <xdr:row>121</xdr:row>
      <xdr:rowOff>57149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27</xdr:col>
      <xdr:colOff>218010</xdr:colOff>
      <xdr:row>117</xdr:row>
      <xdr:rowOff>128321</xdr:rowOff>
    </xdr:from>
    <xdr:to>
      <xdr:col>30</xdr:col>
      <xdr:colOff>394222</xdr:colOff>
      <xdr:row>124</xdr:row>
      <xdr:rowOff>328345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24</xdr:col>
      <xdr:colOff>104775</xdr:colOff>
      <xdr:row>121</xdr:row>
      <xdr:rowOff>142875</xdr:rowOff>
    </xdr:from>
    <xdr:to>
      <xdr:col>27</xdr:col>
      <xdr:colOff>280987</xdr:colOff>
      <xdr:row>128</xdr:row>
      <xdr:rowOff>152399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27</xdr:col>
      <xdr:colOff>268356</xdr:colOff>
      <xdr:row>125</xdr:row>
      <xdr:rowOff>146957</xdr:rowOff>
    </xdr:from>
    <xdr:to>
      <xdr:col>30</xdr:col>
      <xdr:colOff>444568</xdr:colOff>
      <xdr:row>133</xdr:row>
      <xdr:rowOff>166006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24</xdr:col>
      <xdr:colOff>95250</xdr:colOff>
      <xdr:row>129</xdr:row>
      <xdr:rowOff>104361</xdr:rowOff>
    </xdr:from>
    <xdr:to>
      <xdr:col>27</xdr:col>
      <xdr:colOff>271462</xdr:colOff>
      <xdr:row>137</xdr:row>
      <xdr:rowOff>113885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80963</xdr:colOff>
      <xdr:row>11</xdr:row>
      <xdr:rowOff>14287</xdr:rowOff>
    </xdr:from>
    <xdr:to>
      <xdr:col>27</xdr:col>
      <xdr:colOff>257175</xdr:colOff>
      <xdr:row>19</xdr:row>
      <xdr:rowOff>14287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8404926-4FF4-486D-B56B-DC46BD810D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Y274"/>
  <sheetViews>
    <sheetView showWhiteSpace="0" topLeftCell="A158" zoomScale="85" zoomScaleNormal="85" zoomScaleSheetLayoutView="130" workbookViewId="0">
      <selection activeCell="I171" sqref="I171"/>
    </sheetView>
  </sheetViews>
  <sheetFormatPr defaultRowHeight="15" x14ac:dyDescent="0.25"/>
  <cols>
    <col min="1" max="1" width="7.85546875" customWidth="1" style="1"/>
    <col min="2" max="2" bestFit="1" width="4.42578125" customWidth="1" style="1"/>
    <col min="3" max="3" bestFit="1" width="15.7109375" customWidth="1" style="1"/>
    <col min="4" max="4" width="21.5703125" customWidth="1" style="2"/>
    <col min="5" max="5" bestFit="1" width="13.7109375" customWidth="1" style="1"/>
    <col min="6" max="6" width="14.140625" customWidth="1" style="1"/>
    <col min="7" max="7" width="8.5703125" customWidth="1" style="1"/>
    <col min="8" max="8" width="5.28515625" customWidth="1" style="1"/>
    <col min="9" max="9" bestFit="1" width="5.140625" customWidth="1" style="1"/>
    <col min="10" max="10" bestFit="1" width="8.5703125" customWidth="1" style="1"/>
    <col min="11" max="11" width="5" customWidth="1" style="1"/>
    <col min="12" max="12" bestFit="1" width="5.140625" customWidth="1" style="1"/>
    <col min="13" max="13" bestFit="1" width="9.7109375" customWidth="1" style="1"/>
    <col min="14" max="14" bestFit="1" width="7.28515625" customWidth="1" style="1"/>
    <col min="15" max="15" bestFit="1" width="8.28515625" customWidth="1" style="1"/>
    <col min="16" max="16" width="4.85546875" customWidth="1" style="1"/>
    <col min="17" max="17" bestFit="1" width="5.140625" customWidth="1" style="1"/>
    <col min="18" max="18" width="2.28515625" customWidth="1" style="1"/>
    <col min="19" max="19" bestFit="1" width="16.5703125" customWidth="1" style="1"/>
    <col min="20" max="20" bestFit="1" width="16.85546875" customWidth="1" style="1"/>
    <col min="21" max="21" bestFit="1" width="6.7109375" customWidth="1" style="1"/>
    <col min="22" max="22" bestFit="1" width="5.5703125" customWidth="1" style="1"/>
    <col min="23" max="23" bestFit="1" width="11.42578125" customWidth="1" style="1"/>
    <col min="24" max="24" width="9.140625" customWidth="1" style="1"/>
    <col min="25" max="25" bestFit="1" width="44.42578125" customWidth="1" style="7"/>
    <col min="26" max="27" width="9.140625" customWidth="1" style="1"/>
    <col min="28" max="16384" width="9.140625" customWidth="1" style="1"/>
  </cols>
  <sheetData>
    <row r="2">
      <c r="C2" s="321" t="s">
        <v>0</v>
      </c>
      <c r="D2" s="338"/>
    </row>
    <row r="3" ht="15" customHeight="1">
      <c r="C3" s="71" t="s">
        <v>2</v>
      </c>
      <c r="D3" s="23" t="s">
        <v>3</v>
      </c>
      <c r="F3" s="361" t="s">
        <v>4</v>
      </c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3"/>
      <c r="R3" s="105"/>
      <c r="S3" s="105"/>
      <c r="T3" s="105"/>
    </row>
    <row r="4">
      <c r="C4" s="38" t="s">
        <v>6</v>
      </c>
      <c r="D4" s="39">
        <f>IF(RIGHT(C4,1)="L",360-MID(C4,1,FIND("L",C4,1)-1),MID(C4,1,FIND("C",C4,1)-1))+$D$2</f>
        <v>197</v>
      </c>
      <c r="F4" s="364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6"/>
    </row>
    <row r="5">
      <c r="C5" s="38" t="s">
        <v>7</v>
      </c>
      <c r="D5" s="39">
        <f>IF(RIGHT(C5,1)="L",360-MID(C5,1,FIND("L",C5,1)-1),MID(C5,1,FIND("C",C5,1)-1))+$D$2</f>
        <v>79</v>
      </c>
    </row>
    <row r="6">
      <c r="C6" s="31" t="s">
        <v>8</v>
      </c>
      <c r="D6" s="40">
        <f>IF(RIGHT(C6,1)="L",360-MID(C6,1,FIND("L",C6,1)-1),MID(C6,1,FIND("C",C6,1)-1))+$D$2</f>
        <v>315</v>
      </c>
    </row>
    <row r="9" ht="14.25" s="7" customFormat="1">
      <c r="A9" s="3"/>
      <c r="B9" s="321" t="s">
        <v>9</v>
      </c>
      <c r="C9" s="368" t="s">
        <v>10</v>
      </c>
      <c r="D9" s="368" t="s">
        <v>11</v>
      </c>
      <c r="E9" s="368" t="s">
        <v>12</v>
      </c>
      <c r="F9" s="368" t="s">
        <v>13</v>
      </c>
      <c r="G9" s="368"/>
      <c r="H9" s="368"/>
      <c r="I9" s="368"/>
      <c r="J9" s="368"/>
      <c r="K9" s="368"/>
      <c r="L9" s="368"/>
      <c r="M9" s="368" t="s">
        <v>14</v>
      </c>
      <c r="N9" s="368"/>
      <c r="O9" s="368"/>
      <c r="P9" s="368"/>
      <c r="Q9" s="370"/>
      <c r="R9" s="3"/>
    </row>
    <row r="10" ht="28.5" s="7" customFormat="1">
      <c r="A10" s="3"/>
      <c r="B10" s="322"/>
      <c r="C10" s="369"/>
      <c r="D10" s="369"/>
      <c r="E10" s="369"/>
      <c r="F10" s="164" t="s">
        <v>15</v>
      </c>
      <c r="G10" s="164" t="s">
        <v>16</v>
      </c>
      <c r="H10" s="83" t="s">
        <v>17</v>
      </c>
      <c r="I10" s="83" t="s">
        <v>18</v>
      </c>
      <c r="J10" s="164" t="s">
        <v>19</v>
      </c>
      <c r="K10" s="83" t="s">
        <v>17</v>
      </c>
      <c r="L10" s="83" t="s">
        <v>18</v>
      </c>
      <c r="M10" s="164" t="s">
        <v>20</v>
      </c>
      <c r="N10" s="164" t="s">
        <v>21</v>
      </c>
      <c r="O10" s="164" t="s">
        <v>22</v>
      </c>
      <c r="P10" s="83" t="s">
        <v>17</v>
      </c>
      <c r="Q10" s="84" t="s">
        <v>18</v>
      </c>
      <c r="R10" s="3"/>
      <c r="Y10" s="173" t="s">
        <v>404</v>
      </c>
    </row>
    <row r="11" ht="28.5" s="7" customFormat="1">
      <c r="A11" s="3"/>
      <c r="B11" s="171">
        <v>1</v>
      </c>
      <c r="C11" s="371" t="s">
        <v>322</v>
      </c>
      <c r="D11" s="367" t="s">
        <v>323</v>
      </c>
      <c r="E11" s="80" t="str">
        <f>'По терминалам'!E201</f>
        <v>А411</v>
      </c>
      <c r="F11" s="266" t="s">
        <v>114</v>
      </c>
      <c r="G11" s="271" t="str">
        <f>'По терминалам'!G201</f>
        <v>-</v>
      </c>
      <c r="H11" s="272">
        <f>'По терминалам'!H201</f>
        <v>0</v>
      </c>
      <c r="I11" s="293">
        <f>'По терминалам'!I201</f>
        <v>0</v>
      </c>
      <c r="J11" s="80">
        <f>'По терминалам'!J201</f>
        <v>1</v>
      </c>
      <c r="K11" s="80">
        <f>'По терминалам'!K201</f>
        <v>3</v>
      </c>
      <c r="L11" s="80" t="str">
        <f>'По терминалам'!L201</f>
        <v>167L</v>
      </c>
      <c r="M11" s="271" t="str">
        <f>'По терминалам'!M201</f>
        <v>Нет БИ</v>
      </c>
      <c r="N11" s="272">
        <f>'По терминалам'!N201</f>
        <v>0</v>
      </c>
      <c r="O11" s="272">
        <f>'По терминалам'!O201</f>
        <v>0</v>
      </c>
      <c r="P11" s="272">
        <f>'По терминалам'!P201</f>
        <v>0</v>
      </c>
      <c r="Q11" s="273">
        <f>'По терминалам'!Q201</f>
        <v>0</v>
      </c>
      <c r="R11" s="3"/>
      <c r="S11" s="4" t="s">
        <v>397</v>
      </c>
      <c r="T11" s="5" t="s">
        <v>398</v>
      </c>
      <c r="U11" s="5" t="s">
        <v>399</v>
      </c>
      <c r="V11" s="5" t="s">
        <v>400</v>
      </c>
      <c r="W11" s="6" t="s">
        <v>401</v>
      </c>
      <c r="Y11" s="173" t="str">
        <f>D11</f>
        <v>ЯЗТ 1Т</v>
      </c>
    </row>
    <row r="12" s="7" customFormat="1">
      <c r="A12" s="3"/>
      <c r="B12" s="103">
        <v>2</v>
      </c>
      <c r="C12" s="371"/>
      <c r="D12" s="287"/>
      <c r="E12" s="74" t="str">
        <f>'По терминалам'!E202</f>
        <v>В411</v>
      </c>
      <c r="F12" s="266"/>
      <c r="G12" s="271">
        <f>'По терминалам'!G202</f>
        <v>0</v>
      </c>
      <c r="H12" s="272">
        <f>'По терминалам'!H202</f>
        <v>0</v>
      </c>
      <c r="I12" s="293">
        <f>'По терминалам'!I202</f>
        <v>0</v>
      </c>
      <c r="J12" s="74">
        <f>'По терминалам'!J202</f>
        <v>2</v>
      </c>
      <c r="K12" s="74">
        <f>'По терминалам'!K202</f>
        <v>3</v>
      </c>
      <c r="L12" s="74" t="str">
        <f>'По терминалам'!L202</f>
        <v>73C</v>
      </c>
      <c r="M12" s="271">
        <f>'По терминалам'!M202</f>
        <v>0</v>
      </c>
      <c r="N12" s="272">
        <f>'По терминалам'!N202</f>
        <v>0</v>
      </c>
      <c r="O12" s="272">
        <f>'По терминалам'!O202</f>
        <v>0</v>
      </c>
      <c r="P12" s="272">
        <f>'По терминалам'!P202</f>
        <v>0</v>
      </c>
      <c r="Q12" s="273">
        <f>'По терминалам'!Q202</f>
        <v>0</v>
      </c>
      <c r="R12" s="3"/>
      <c r="S12" s="8" t="s">
        <v>322</v>
      </c>
      <c r="T12" s="9"/>
      <c r="U12" s="9"/>
      <c r="V12" s="9"/>
      <c r="W12" s="10"/>
      <c r="Y12" s="173" t="str">
        <f>D11</f>
        <v>ЯЗТ 1Т</v>
      </c>
    </row>
    <row r="13" s="7" customFormat="1">
      <c r="A13" s="3"/>
      <c r="B13" s="103">
        <v>3</v>
      </c>
      <c r="C13" s="371"/>
      <c r="D13" s="287"/>
      <c r="E13" s="74" t="str">
        <f>'По терминалам'!E203</f>
        <v>С411</v>
      </c>
      <c r="F13" s="266"/>
      <c r="G13" s="271">
        <f>'По терминалам'!G203</f>
        <v>0</v>
      </c>
      <c r="H13" s="272">
        <f>'По терминалам'!H203</f>
        <v>0</v>
      </c>
      <c r="I13" s="293">
        <f>'По терминалам'!I203</f>
        <v>0</v>
      </c>
      <c r="J13" s="74">
        <f>'По терминалам'!J203</f>
        <v>3</v>
      </c>
      <c r="K13" s="74">
        <f>'По терминалам'!K203</f>
        <v>3</v>
      </c>
      <c r="L13" s="74" t="str">
        <f>'По терминалам'!L203</f>
        <v>43L</v>
      </c>
      <c r="M13" s="271">
        <f>'По терминалам'!M203</f>
        <v>0</v>
      </c>
      <c r="N13" s="272">
        <f>'По терминалам'!N203</f>
        <v>0</v>
      </c>
      <c r="O13" s="272">
        <f>'По терминалам'!O203</f>
        <v>0</v>
      </c>
      <c r="P13" s="272">
        <f>'По терминалам'!P203</f>
        <v>0</v>
      </c>
      <c r="Q13" s="273">
        <f>'По терминалам'!Q203</f>
        <v>0</v>
      </c>
      <c r="R13" s="3"/>
      <c r="S13" s="3"/>
      <c r="T13" s="3"/>
      <c r="Y13" s="173" t="str">
        <f>D11</f>
        <v>ЯЗТ 1Т</v>
      </c>
    </row>
    <row r="14" s="7" customFormat="1">
      <c r="A14" s="3"/>
      <c r="B14" s="103">
        <v>4</v>
      </c>
      <c r="C14" s="371"/>
      <c r="D14" s="288"/>
      <c r="E14" s="75" t="str">
        <f>'По терминалам'!E204</f>
        <v>N411</v>
      </c>
      <c r="F14" s="267"/>
      <c r="G14" s="274">
        <f>'По терминалам'!G204</f>
        <v>0</v>
      </c>
      <c r="H14" s="275">
        <f>'По терминалам'!H204</f>
        <v>0</v>
      </c>
      <c r="I14" s="294">
        <f>'По терминалам'!I204</f>
        <v>0</v>
      </c>
      <c r="J14" s="75">
        <f>'По терминалам'!J204</f>
        <v>6</v>
      </c>
      <c r="K14" s="75">
        <f>'По терминалам'!K204</f>
        <v>0</v>
      </c>
      <c r="L14" s="75" t="str">
        <f>'По терминалам'!L204</f>
        <v>-</v>
      </c>
      <c r="M14" s="274">
        <f>'По терминалам'!M204</f>
        <v>0</v>
      </c>
      <c r="N14" s="275">
        <f>'По терминалам'!N204</f>
        <v>0</v>
      </c>
      <c r="O14" s="275">
        <f>'По терминалам'!O204</f>
        <v>0</v>
      </c>
      <c r="P14" s="275">
        <f>'По терминалам'!P204</f>
        <v>0</v>
      </c>
      <c r="Q14" s="276">
        <f>'По терминалам'!Q204</f>
        <v>0</v>
      </c>
      <c r="R14" s="3"/>
      <c r="S14" s="3"/>
      <c r="T14" s="3"/>
      <c r="Y14" s="173" t="str">
        <f>D11</f>
        <v>ЯЗТ 1Т</v>
      </c>
    </row>
    <row r="15">
      <c r="A15" s="16"/>
      <c r="B15" s="103">
        <v>5</v>
      </c>
      <c r="C15" s="371"/>
      <c r="D15" s="286" t="s">
        <v>164</v>
      </c>
      <c r="E15" s="73" t="str">
        <f>'По терминалам'!E47</f>
        <v>А411</v>
      </c>
      <c r="F15" s="265" t="s">
        <v>114</v>
      </c>
      <c r="G15" s="73">
        <f>'По терминалам'!G47</f>
        <v>136</v>
      </c>
      <c r="H15" s="73">
        <f>'По терминалам'!H47</f>
        <v>3</v>
      </c>
      <c r="I15" s="73" t="str">
        <f>'По терминалам'!I47</f>
        <v>17L</v>
      </c>
      <c r="J15" s="73">
        <f>'По терминалам'!J47</f>
        <v>140</v>
      </c>
      <c r="K15" s="73">
        <f>'По терминалам'!K47</f>
        <v>3</v>
      </c>
      <c r="L15" s="73" t="str">
        <f>'По терминалам'!L47</f>
        <v>167L</v>
      </c>
      <c r="M15" s="265" t="str">
        <f>'По терминалам'!M47</f>
        <v>SG6</v>
      </c>
      <c r="N15" s="73">
        <f>'По терминалам'!N47</f>
        <v>2</v>
      </c>
      <c r="O15" s="73">
        <f>'По терминалам'!O47</f>
        <v>4</v>
      </c>
      <c r="P15" s="73">
        <f>'По терминалам'!P47</f>
        <v>3</v>
      </c>
      <c r="Q15" s="76" t="str">
        <f>'По терминалам'!Q47</f>
        <v>163L</v>
      </c>
      <c r="R15" s="16"/>
      <c r="S15" s="16"/>
      <c r="T15" s="16"/>
      <c r="Y15" s="173" t="str">
        <f>D15</f>
        <v>РЩГ-1 1НА04 защиты 1Т 1к</v>
      </c>
    </row>
    <row r="16">
      <c r="A16" s="16"/>
      <c r="B16" s="103">
        <v>6</v>
      </c>
      <c r="C16" s="371"/>
      <c r="D16" s="287"/>
      <c r="E16" s="74" t="str">
        <f>'По терминалам'!E48</f>
        <v>В411</v>
      </c>
      <c r="F16" s="266"/>
      <c r="G16" s="74">
        <f>'По терминалам'!G48</f>
        <v>137</v>
      </c>
      <c r="H16" s="74">
        <f>'По терминалам'!H48</f>
        <v>3</v>
      </c>
      <c r="I16" s="74" t="str">
        <f>'По терминалам'!I48</f>
        <v>133L</v>
      </c>
      <c r="J16" s="74">
        <f>'По терминалам'!J48</f>
        <v>141</v>
      </c>
      <c r="K16" s="74">
        <f>'По терминалам'!K48</f>
        <v>3</v>
      </c>
      <c r="L16" s="74" t="str">
        <f>'По терминалам'!L48</f>
        <v>73C</v>
      </c>
      <c r="M16" s="266">
        <f>'По терминалам'!M48</f>
        <v>0</v>
      </c>
      <c r="N16" s="74">
        <f>'По терминалам'!N48</f>
        <v>6</v>
      </c>
      <c r="O16" s="74">
        <f>'По терминалам'!O48</f>
        <v>8</v>
      </c>
      <c r="P16" s="74">
        <f>'По терминалам'!P48</f>
        <v>3</v>
      </c>
      <c r="Q16" s="77" t="str">
        <f>'По терминалам'!Q48</f>
        <v>79C</v>
      </c>
      <c r="R16" s="16"/>
      <c r="S16" s="16"/>
      <c r="T16" s="16"/>
      <c r="Y16" s="173" t="str">
        <f>D15</f>
        <v>РЩГ-1 1НА04 защиты 1Т 1к</v>
      </c>
    </row>
    <row r="17">
      <c r="A17" s="16"/>
      <c r="B17" s="103">
        <v>7</v>
      </c>
      <c r="C17" s="371"/>
      <c r="D17" s="287"/>
      <c r="E17" s="74" t="str">
        <f>'По терминалам'!E49</f>
        <v>С411</v>
      </c>
      <c r="F17" s="266"/>
      <c r="G17" s="74">
        <f>'По терминалам'!G49</f>
        <v>138</v>
      </c>
      <c r="H17" s="74">
        <f>'По терминалам'!H49</f>
        <v>3</v>
      </c>
      <c r="I17" s="74" t="str">
        <f>'По терминалам'!I49</f>
        <v>105C</v>
      </c>
      <c r="J17" s="74">
        <f>'По терминалам'!J49</f>
        <v>142</v>
      </c>
      <c r="K17" s="74">
        <f>'По терминалам'!K49</f>
        <v>3</v>
      </c>
      <c r="L17" s="74" t="str">
        <f>'По терминалам'!L49</f>
        <v>43L</v>
      </c>
      <c r="M17" s="295">
        <f>'По терминалам'!M49</f>
        <v>0</v>
      </c>
      <c r="N17" s="74">
        <f>'По терминалам'!N49</f>
        <v>10</v>
      </c>
      <c r="O17" s="74">
        <f>'По терминалам'!O49</f>
        <v>12</v>
      </c>
      <c r="P17" s="74">
        <f>'По терминалам'!P49</f>
        <v>3</v>
      </c>
      <c r="Q17" s="77" t="str">
        <f>'По терминалам'!Q49</f>
        <v>42L</v>
      </c>
      <c r="R17" s="16"/>
      <c r="S17" s="16"/>
      <c r="T17" s="16"/>
      <c r="Y17" s="173" t="str">
        <f>D15</f>
        <v>РЩГ-1 1НА04 защиты 1Т 1к</v>
      </c>
    </row>
    <row r="18">
      <c r="A18" s="16"/>
      <c r="B18" s="103">
        <v>8</v>
      </c>
      <c r="C18" s="371"/>
      <c r="D18" s="288"/>
      <c r="E18" s="75" t="str">
        <f>'По терминалам'!E50</f>
        <v>N411</v>
      </c>
      <c r="F18" s="267"/>
      <c r="G18" s="75">
        <f>'По терминалам'!G50</f>
        <v>139</v>
      </c>
      <c r="H18" s="75">
        <f>'По терминалам'!H50</f>
        <v>0</v>
      </c>
      <c r="I18" s="75" t="str">
        <f>'По терминалам'!I50</f>
        <v>-</v>
      </c>
      <c r="J18" s="75">
        <f>'По терминалам'!J50</f>
        <v>143</v>
      </c>
      <c r="K18" s="75">
        <f>'По терминалам'!K50</f>
        <v>0</v>
      </c>
      <c r="L18" s="75" t="str">
        <f>'По терминалам'!L50</f>
        <v>-</v>
      </c>
      <c r="M18" s="274" t="str">
        <f>'По терминалам'!M50</f>
        <v>-</v>
      </c>
      <c r="N18" s="275">
        <f>'По терминалам'!N50</f>
        <v>0</v>
      </c>
      <c r="O18" s="275">
        <f>'По терминалам'!O50</f>
        <v>0</v>
      </c>
      <c r="P18" s="275">
        <f>'По терминалам'!P50</f>
        <v>0</v>
      </c>
      <c r="Q18" s="276">
        <f>'По терминалам'!Q50</f>
        <v>0</v>
      </c>
      <c r="R18" s="16"/>
      <c r="S18" s="16"/>
      <c r="T18" s="16"/>
      <c r="Y18" s="173" t="str">
        <f>D15</f>
        <v>РЩГ-1 1НА04 защиты 1Т 1к</v>
      </c>
    </row>
    <row r="19">
      <c r="A19" s="16"/>
      <c r="B19" s="103">
        <v>9</v>
      </c>
      <c r="C19" s="371"/>
      <c r="D19" s="286" t="s">
        <v>389</v>
      </c>
      <c r="E19" s="73" t="str">
        <f>'По терминалам'!E263</f>
        <v>А412</v>
      </c>
      <c r="F19" s="265" t="s">
        <v>71</v>
      </c>
      <c r="G19" s="73">
        <f>'По терминалам'!G263</f>
        <v>1</v>
      </c>
      <c r="H19" s="73">
        <f>'По терминалам'!H263</f>
        <v>0</v>
      </c>
      <c r="I19" s="73">
        <f>'По терминалам'!I263</f>
        <v>0</v>
      </c>
      <c r="J19" s="73">
        <f>'По терминалам'!J263</f>
        <v>0</v>
      </c>
      <c r="K19" s="73">
        <f>'По терминалам'!K263</f>
        <v>0</v>
      </c>
      <c r="L19" s="73">
        <f>'По терминалам'!L263</f>
        <v>0</v>
      </c>
      <c r="M19" s="265" t="str">
        <f>'По терминалам'!M263</f>
        <v>SG1</v>
      </c>
      <c r="N19" s="73">
        <f>'По терминалам'!N263</f>
        <v>2</v>
      </c>
      <c r="O19" s="73">
        <f>'По терминалам'!O263</f>
        <v>4</v>
      </c>
      <c r="P19" s="73">
        <f>'По терминалам'!P263</f>
        <v>0</v>
      </c>
      <c r="Q19" s="76">
        <f>'По терминалам'!Q263</f>
        <v>0</v>
      </c>
      <c r="R19" s="16"/>
      <c r="S19" s="16"/>
      <c r="T19" s="16"/>
      <c r="Y19" s="173" t="str">
        <f>D19</f>
        <v>БВС-1 32Р ПА 1к</v>
      </c>
    </row>
    <row r="20">
      <c r="A20" s="16"/>
      <c r="B20" s="103">
        <v>10</v>
      </c>
      <c r="C20" s="371"/>
      <c r="D20" s="287"/>
      <c r="E20" s="74" t="str">
        <f>'По терминалам'!E264</f>
        <v>В412</v>
      </c>
      <c r="F20" s="266"/>
      <c r="G20" s="74">
        <f>'По терминалам'!G264</f>
        <v>3</v>
      </c>
      <c r="H20" s="74">
        <f>'По терминалам'!H264</f>
        <v>0</v>
      </c>
      <c r="I20" s="74">
        <f>'По терминалам'!I264</f>
        <v>0</v>
      </c>
      <c r="J20" s="74">
        <f>'По терминалам'!J264</f>
        <v>0</v>
      </c>
      <c r="K20" s="74">
        <f>'По терминалам'!K264</f>
        <v>0</v>
      </c>
      <c r="L20" s="74">
        <f>'По терминалам'!L264</f>
        <v>0</v>
      </c>
      <c r="M20" s="266">
        <f>'По терминалам'!M264</f>
        <v>0</v>
      </c>
      <c r="N20" s="74">
        <f>'По терминалам'!N264</f>
        <v>6</v>
      </c>
      <c r="O20" s="74">
        <f>'По терминалам'!O264</f>
        <v>8</v>
      </c>
      <c r="P20" s="74">
        <f>'По терминалам'!P264</f>
        <v>0</v>
      </c>
      <c r="Q20" s="77">
        <f>'По терминалам'!Q264</f>
        <v>0</v>
      </c>
      <c r="R20" s="16"/>
      <c r="S20" s="16"/>
      <c r="T20" s="16"/>
      <c r="Y20" s="173" t="str">
        <f>D19</f>
        <v>БВС-1 32Р ПА 1к</v>
      </c>
    </row>
    <row r="21">
      <c r="A21" s="16"/>
      <c r="B21" s="103">
        <v>11</v>
      </c>
      <c r="C21" s="371"/>
      <c r="D21" s="287"/>
      <c r="E21" s="74" t="str">
        <f>'По терминалам'!E265</f>
        <v>С412</v>
      </c>
      <c r="F21" s="266"/>
      <c r="G21" s="74">
        <f>'По терминалам'!G265</f>
        <v>5</v>
      </c>
      <c r="H21" s="74">
        <f>'По терминалам'!H265</f>
        <v>0</v>
      </c>
      <c r="I21" s="74">
        <f>'По терминалам'!I265</f>
        <v>0</v>
      </c>
      <c r="J21" s="74">
        <f>'По терминалам'!J265</f>
        <v>0</v>
      </c>
      <c r="K21" s="74">
        <f>'По терминалам'!K265</f>
        <v>0</v>
      </c>
      <c r="L21" s="74">
        <f>'По терминалам'!L265</f>
        <v>0</v>
      </c>
      <c r="M21" s="295">
        <f>'По терминалам'!M265</f>
        <v>0</v>
      </c>
      <c r="N21" s="74">
        <f>'По терминалам'!N265</f>
        <v>10</v>
      </c>
      <c r="O21" s="74">
        <f>'По терминалам'!O265</f>
        <v>12</v>
      </c>
      <c r="P21" s="74">
        <f>'По терминалам'!P265</f>
        <v>0</v>
      </c>
      <c r="Q21" s="77">
        <f>'По терминалам'!Q265</f>
        <v>0</v>
      </c>
      <c r="R21" s="16"/>
      <c r="S21" s="16"/>
      <c r="T21" s="16"/>
      <c r="Y21" s="173" t="str">
        <f>D19</f>
        <v>БВС-1 32Р ПА 1к</v>
      </c>
    </row>
    <row r="22">
      <c r="A22" s="16"/>
      <c r="B22" s="103">
        <v>12</v>
      </c>
      <c r="C22" s="371"/>
      <c r="D22" s="288"/>
      <c r="E22" s="75" t="str">
        <f>'По терминалам'!E266</f>
        <v>N411</v>
      </c>
      <c r="F22" s="267"/>
      <c r="G22" s="75">
        <f>'По терминалам'!G266</f>
        <v>7</v>
      </c>
      <c r="H22" s="75">
        <f>'По терминалам'!H266</f>
        <v>0</v>
      </c>
      <c r="I22" s="75">
        <f>'По терминалам'!I266</f>
        <v>0</v>
      </c>
      <c r="J22" s="75">
        <f>'По терминалам'!J266</f>
        <v>0</v>
      </c>
      <c r="K22" s="75">
        <f>'По терминалам'!K266</f>
        <v>0</v>
      </c>
      <c r="L22" s="75">
        <f>'По терминалам'!L266</f>
        <v>0</v>
      </c>
      <c r="M22" s="274" t="str">
        <f>'По терминалам'!M266</f>
        <v>-</v>
      </c>
      <c r="N22" s="275">
        <f>'По терминалам'!N266</f>
        <v>0</v>
      </c>
      <c r="O22" s="275">
        <f>'По терминалам'!O266</f>
        <v>0</v>
      </c>
      <c r="P22" s="275">
        <f>'По терминалам'!P266</f>
        <v>0</v>
      </c>
      <c r="Q22" s="276">
        <f>'По терминалам'!Q266</f>
        <v>0</v>
      </c>
      <c r="R22" s="16"/>
      <c r="S22" s="16"/>
      <c r="T22" s="16"/>
      <c r="Y22" s="173" t="str">
        <f>D19</f>
        <v>БВС-1 32Р ПА 1к</v>
      </c>
    </row>
    <row r="23">
      <c r="A23" s="16"/>
      <c r="B23" s="103">
        <v>13</v>
      </c>
      <c r="C23" s="371"/>
      <c r="D23" s="286" t="s">
        <v>356</v>
      </c>
      <c r="E23" s="73" t="str">
        <f>'По терминалам'!E239</f>
        <v>А413</v>
      </c>
      <c r="F23" s="265" t="s">
        <v>357</v>
      </c>
      <c r="G23" s="73">
        <f>'По терминалам'!G239</f>
        <v>1</v>
      </c>
      <c r="H23" s="73">
        <f>'По терминалам'!H239</f>
        <v>0</v>
      </c>
      <c r="I23" s="73">
        <f>'По терминалам'!I239</f>
        <v>0</v>
      </c>
      <c r="J23" s="73">
        <f>'По терминалам'!J239</f>
        <v>0</v>
      </c>
      <c r="K23" s="73">
        <f>'По терминалам'!K239</f>
        <v>0</v>
      </c>
      <c r="L23" s="73">
        <f>'По терминалам'!L239</f>
        <v>0</v>
      </c>
      <c r="M23" s="265" t="str">
        <f>'По терминалам'!M239</f>
        <v>SGA3</v>
      </c>
      <c r="N23" s="73">
        <f>'По терминалам'!N239</f>
        <v>2</v>
      </c>
      <c r="O23" s="73">
        <f>'По терминалам'!O239</f>
        <v>4</v>
      </c>
      <c r="P23" s="73">
        <f>'По терминалам'!P239</f>
        <v>0</v>
      </c>
      <c r="Q23" s="76">
        <f>'По терминалам'!Q239</f>
        <v>0</v>
      </c>
      <c r="R23" s="16"/>
      <c r="S23" s="16"/>
      <c r="T23" s="16"/>
      <c r="Y23" s="173" t="str">
        <f>D23</f>
        <v>БВС-1 Шкаф 39Р ДЗО 1к</v>
      </c>
    </row>
    <row r="24">
      <c r="A24" s="16"/>
      <c r="B24" s="103">
        <v>14</v>
      </c>
      <c r="C24" s="371"/>
      <c r="D24" s="287"/>
      <c r="E24" s="74" t="str">
        <f>'По терминалам'!E240</f>
        <v>В413</v>
      </c>
      <c r="F24" s="266"/>
      <c r="G24" s="74">
        <f>'По терминалам'!G240</f>
        <v>2</v>
      </c>
      <c r="H24" s="74">
        <f>'По терминалам'!H240</f>
        <v>0</v>
      </c>
      <c r="I24" s="74">
        <f>'По терминалам'!I240</f>
        <v>0</v>
      </c>
      <c r="J24" s="74">
        <f>'По терминалам'!J240</f>
        <v>0</v>
      </c>
      <c r="K24" s="74">
        <f>'По терминалам'!K240</f>
        <v>0</v>
      </c>
      <c r="L24" s="74">
        <f>'По терминалам'!L240</f>
        <v>0</v>
      </c>
      <c r="M24" s="266">
        <f>'По терминалам'!M240</f>
        <v>0</v>
      </c>
      <c r="N24" s="74">
        <f>'По терминалам'!N240</f>
        <v>6</v>
      </c>
      <c r="O24" s="74">
        <f>'По терминалам'!O240</f>
        <v>8</v>
      </c>
      <c r="P24" s="74">
        <f>'По терминалам'!P240</f>
        <v>0</v>
      </c>
      <c r="Q24" s="77">
        <f>'По терминалам'!Q240</f>
        <v>0</v>
      </c>
      <c r="R24" s="16"/>
      <c r="S24" s="16"/>
      <c r="T24" s="16"/>
      <c r="Y24" s="173" t="str">
        <f>D23</f>
        <v>БВС-1 Шкаф 39Р ДЗО 1к</v>
      </c>
    </row>
    <row r="25">
      <c r="A25" s="16"/>
      <c r="B25" s="103">
        <v>15</v>
      </c>
      <c r="C25" s="371"/>
      <c r="D25" s="287"/>
      <c r="E25" s="74" t="str">
        <f>'По терминалам'!E241</f>
        <v>С413</v>
      </c>
      <c r="F25" s="266"/>
      <c r="G25" s="74">
        <f>'По терминалам'!G241</f>
        <v>3</v>
      </c>
      <c r="H25" s="74">
        <f>'По терминалам'!H241</f>
        <v>0</v>
      </c>
      <c r="I25" s="74">
        <f>'По терминалам'!I241</f>
        <v>0</v>
      </c>
      <c r="J25" s="74">
        <f>'По терминалам'!J241</f>
        <v>0</v>
      </c>
      <c r="K25" s="74">
        <f>'По терминалам'!K241</f>
        <v>0</v>
      </c>
      <c r="L25" s="74">
        <f>'По терминалам'!L241</f>
        <v>0</v>
      </c>
      <c r="M25" s="295">
        <f>'По терминалам'!M241</f>
        <v>0</v>
      </c>
      <c r="N25" s="74">
        <f>'По терминалам'!N241</f>
        <v>10</v>
      </c>
      <c r="O25" s="74">
        <f>'По терминалам'!O241</f>
        <v>12</v>
      </c>
      <c r="P25" s="74">
        <f>'По терминалам'!P241</f>
        <v>0</v>
      </c>
      <c r="Q25" s="77">
        <f>'По терминалам'!Q241</f>
        <v>0</v>
      </c>
      <c r="R25" s="16"/>
      <c r="S25" s="16"/>
      <c r="T25" s="16"/>
      <c r="Y25" s="173" t="str">
        <f>D23</f>
        <v>БВС-1 Шкаф 39Р ДЗО 1к</v>
      </c>
    </row>
    <row r="26">
      <c r="A26" s="16"/>
      <c r="B26" s="103">
        <v>16</v>
      </c>
      <c r="C26" s="372"/>
      <c r="D26" s="288"/>
      <c r="E26" s="75" t="str">
        <f>'По терминалам'!E242</f>
        <v>N411</v>
      </c>
      <c r="F26" s="267"/>
      <c r="G26" s="75">
        <f>'По терминалам'!G242</f>
        <v>4</v>
      </c>
      <c r="H26" s="75">
        <f>'По терминалам'!H242</f>
        <v>0</v>
      </c>
      <c r="I26" s="75">
        <f>'По терминалам'!I242</f>
        <v>0</v>
      </c>
      <c r="J26" s="75">
        <f>'По терминалам'!J242</f>
        <v>0</v>
      </c>
      <c r="K26" s="75">
        <f>'По терминалам'!K242</f>
        <v>0</v>
      </c>
      <c r="L26" s="75">
        <f>'По терминалам'!L242</f>
        <v>0</v>
      </c>
      <c r="M26" s="274" t="str">
        <f>'По терминалам'!M242</f>
        <v>-</v>
      </c>
      <c r="N26" s="275">
        <f>'По терминалам'!N242</f>
        <v>0</v>
      </c>
      <c r="O26" s="275">
        <f>'По терминалам'!O242</f>
        <v>0</v>
      </c>
      <c r="P26" s="275">
        <f>'По терминалам'!P242</f>
        <v>0</v>
      </c>
      <c r="Q26" s="276">
        <f>'По терминалам'!Q242</f>
        <v>0</v>
      </c>
      <c r="R26" s="16"/>
      <c r="S26" s="16"/>
      <c r="T26" s="16"/>
      <c r="Y26" s="173" t="str">
        <f>D23</f>
        <v>БВС-1 Шкаф 39Р ДЗО 1к</v>
      </c>
    </row>
    <row r="27" ht="28.5">
      <c r="A27" s="16"/>
      <c r="B27" s="103">
        <v>17</v>
      </c>
      <c r="C27" s="314" t="s">
        <v>324</v>
      </c>
      <c r="D27" s="261" t="s">
        <v>323</v>
      </c>
      <c r="E27" s="65" t="str">
        <f>'По терминалам'!E205</f>
        <v>А411</v>
      </c>
      <c r="F27" s="303" t="s">
        <v>114</v>
      </c>
      <c r="G27" s="305" t="str">
        <f>'По терминалам'!G205</f>
        <v>-</v>
      </c>
      <c r="H27" s="306">
        <f>'По терминалам'!H205</f>
        <v>0</v>
      </c>
      <c r="I27" s="314">
        <f>'По терминалам'!I205</f>
        <v>0</v>
      </c>
      <c r="J27" s="65">
        <f>'По терминалам'!J205</f>
        <v>10</v>
      </c>
      <c r="K27" s="65">
        <f>'По терминалам'!K205</f>
        <v>1</v>
      </c>
      <c r="L27" s="72" t="str">
        <f>'По терминалам'!L205</f>
        <v>167L</v>
      </c>
      <c r="M27" s="305" t="str">
        <f>'По терминалам'!M205</f>
        <v>Нет БИ</v>
      </c>
      <c r="N27" s="306">
        <f>'По терминалам'!N205</f>
        <v>0</v>
      </c>
      <c r="O27" s="306">
        <f>'По терминалам'!O205</f>
        <v>0</v>
      </c>
      <c r="P27" s="306">
        <f>'По терминалам'!P205</f>
        <v>0</v>
      </c>
      <c r="Q27" s="307">
        <f>'По терминалам'!Q205</f>
        <v>0</v>
      </c>
      <c r="R27" s="16"/>
      <c r="S27" s="4" t="s">
        <v>397</v>
      </c>
      <c r="T27" s="5" t="s">
        <v>398</v>
      </c>
      <c r="U27" s="5" t="s">
        <v>399</v>
      </c>
      <c r="V27" s="5" t="s">
        <v>400</v>
      </c>
      <c r="W27" s="6" t="s">
        <v>401</v>
      </c>
      <c r="Y27" s="173" t="str">
        <f>D27</f>
        <v>ЯЗТ 1Т</v>
      </c>
    </row>
    <row r="28">
      <c r="A28" s="16"/>
      <c r="B28" s="103">
        <v>18</v>
      </c>
      <c r="C28" s="315"/>
      <c r="D28" s="326"/>
      <c r="E28" s="66" t="str">
        <f>'По терминалам'!E206</f>
        <v>В411</v>
      </c>
      <c r="F28" s="317"/>
      <c r="G28" s="308">
        <f>'По терминалам'!G206</f>
        <v>0</v>
      </c>
      <c r="H28" s="309">
        <f>'По терминалам'!H206</f>
        <v>0</v>
      </c>
      <c r="I28" s="315">
        <f>'По терминалам'!I206</f>
        <v>0</v>
      </c>
      <c r="J28" s="66">
        <f>'По терминалам'!J206</f>
        <v>11</v>
      </c>
      <c r="K28" s="66">
        <f>'По терминалам'!K206</f>
        <v>1</v>
      </c>
      <c r="L28" s="41" t="str">
        <f>'По терминалам'!L206</f>
        <v>73C</v>
      </c>
      <c r="M28" s="308">
        <f>'По терминалам'!M206</f>
        <v>0</v>
      </c>
      <c r="N28" s="309">
        <f>'По терминалам'!N206</f>
        <v>0</v>
      </c>
      <c r="O28" s="309">
        <f>'По терминалам'!O206</f>
        <v>0</v>
      </c>
      <c r="P28" s="309">
        <f>'По терминалам'!P206</f>
        <v>0</v>
      </c>
      <c r="Q28" s="310">
        <f>'По терминалам'!Q206</f>
        <v>0</v>
      </c>
      <c r="R28" s="16"/>
      <c r="S28" s="8" t="s">
        <v>324</v>
      </c>
      <c r="T28" s="9"/>
      <c r="U28" s="9"/>
      <c r="V28" s="9"/>
      <c r="W28" s="10"/>
      <c r="Y28" s="173" t="str">
        <f>D27</f>
        <v>ЯЗТ 1Т</v>
      </c>
    </row>
    <row r="29">
      <c r="B29" s="103">
        <v>19</v>
      </c>
      <c r="C29" s="315"/>
      <c r="D29" s="326"/>
      <c r="E29" s="12" t="str">
        <f>'По терминалам'!E207</f>
        <v>С411</v>
      </c>
      <c r="F29" s="317"/>
      <c r="G29" s="308">
        <f>'По терминалам'!G207</f>
        <v>0</v>
      </c>
      <c r="H29" s="309">
        <f>'По терминалам'!H207</f>
        <v>0</v>
      </c>
      <c r="I29" s="315">
        <f>'По терминалам'!I207</f>
        <v>0</v>
      </c>
      <c r="J29" s="66">
        <f>'По терминалам'!J207</f>
        <v>12</v>
      </c>
      <c r="K29" s="66">
        <f>'По терминалам'!K207</f>
        <v>1</v>
      </c>
      <c r="L29" s="41" t="str">
        <f>'По терминалам'!L207</f>
        <v>43L</v>
      </c>
      <c r="M29" s="308">
        <f>'По терминалам'!M207</f>
        <v>0</v>
      </c>
      <c r="N29" s="309">
        <f>'По терминалам'!N207</f>
        <v>0</v>
      </c>
      <c r="O29" s="309">
        <f>'По терминалам'!O207</f>
        <v>0</v>
      </c>
      <c r="P29" s="309">
        <f>'По терминалам'!P207</f>
        <v>0</v>
      </c>
      <c r="Q29" s="310">
        <f>'По терминалам'!Q207</f>
        <v>0</v>
      </c>
      <c r="R29" s="16"/>
      <c r="S29" s="16"/>
      <c r="Y29" s="173" t="str">
        <f>D27</f>
        <v>ЯЗТ 1Т</v>
      </c>
    </row>
    <row r="30">
      <c r="B30" s="103">
        <v>20</v>
      </c>
      <c r="C30" s="315"/>
      <c r="D30" s="262"/>
      <c r="E30" s="13" t="str">
        <f>'По терминалам'!E208</f>
        <v>N411</v>
      </c>
      <c r="F30" s="304"/>
      <c r="G30" s="311">
        <f>'По терминалам'!G208</f>
        <v>0</v>
      </c>
      <c r="H30" s="312">
        <f>'По терминалам'!H208</f>
        <v>0</v>
      </c>
      <c r="I30" s="316">
        <f>'По терминалам'!I208</f>
        <v>0</v>
      </c>
      <c r="J30" s="63">
        <f>'По терминалам'!J208</f>
        <v>9</v>
      </c>
      <c r="K30" s="63">
        <f>'По терминалам'!K208</f>
        <v>0</v>
      </c>
      <c r="L30" s="63">
        <f>'По терминалам'!L208</f>
        <v>0</v>
      </c>
      <c r="M30" s="311">
        <f>'По терминалам'!M208</f>
        <v>0</v>
      </c>
      <c r="N30" s="312">
        <f>'По терминалам'!N208</f>
        <v>0</v>
      </c>
      <c r="O30" s="312">
        <f>'По терминалам'!O208</f>
        <v>0</v>
      </c>
      <c r="P30" s="312">
        <f>'По терминалам'!P208</f>
        <v>0</v>
      </c>
      <c r="Q30" s="313">
        <f>'По терминалам'!Q208</f>
        <v>0</v>
      </c>
      <c r="Y30" s="173" t="str">
        <f>D27</f>
        <v>ЯЗТ 1Т</v>
      </c>
    </row>
    <row r="31">
      <c r="B31" s="103">
        <v>21</v>
      </c>
      <c r="C31" s="315"/>
      <c r="D31" s="261" t="s">
        <v>226</v>
      </c>
      <c r="E31" s="65" t="str">
        <f>'По терминалам'!E79</f>
        <v>А421</v>
      </c>
      <c r="F31" s="303" t="s">
        <v>114</v>
      </c>
      <c r="G31" s="65">
        <f>'По терминалам'!G79</f>
        <v>136</v>
      </c>
      <c r="H31" s="65">
        <f>'По терминалам'!H79</f>
        <v>1</v>
      </c>
      <c r="I31" s="65" t="str">
        <f>'По терминалам'!I79</f>
        <v>167L</v>
      </c>
      <c r="J31" s="65">
        <f>'По терминалам'!J79</f>
        <v>140</v>
      </c>
      <c r="K31" s="65">
        <f>'По терминалам'!K79</f>
        <v>1</v>
      </c>
      <c r="L31" s="65" t="str">
        <f>'По терминалам'!L79</f>
        <v>163L</v>
      </c>
      <c r="M31" s="303" t="str">
        <f>'По терминалам'!M79</f>
        <v>SG6</v>
      </c>
      <c r="N31" s="17">
        <f>'По терминалам'!N79</f>
        <v>2</v>
      </c>
      <c r="O31" s="17">
        <f>'По терминалам'!O79</f>
        <v>4</v>
      </c>
      <c r="P31" s="65">
        <f>'По терминалам'!P79</f>
        <v>2</v>
      </c>
      <c r="Q31" s="78" t="str">
        <f>'По терминалам'!Q79</f>
        <v>167L</v>
      </c>
      <c r="Y31" s="173" t="str">
        <f>D31</f>
        <v>РЩГ-1 1НА05 защиты 1Т 2к</v>
      </c>
    </row>
    <row r="32">
      <c r="B32" s="103">
        <v>22</v>
      </c>
      <c r="C32" s="315"/>
      <c r="D32" s="326"/>
      <c r="E32" s="66" t="str">
        <f>'По терминалам'!E80</f>
        <v>В421</v>
      </c>
      <c r="F32" s="317"/>
      <c r="G32" s="66">
        <f>'По терминалам'!G80</f>
        <v>137</v>
      </c>
      <c r="H32" s="66">
        <f>'По терминалам'!H80</f>
        <v>1</v>
      </c>
      <c r="I32" s="66" t="str">
        <f>'По терминалам'!I80</f>
        <v>73C</v>
      </c>
      <c r="J32" s="66">
        <f>'По терминалам'!J80</f>
        <v>141</v>
      </c>
      <c r="K32" s="66">
        <f>'По терминалам'!K80</f>
        <v>2</v>
      </c>
      <c r="L32" s="66" t="str">
        <f>'По терминалам'!L80</f>
        <v>79C</v>
      </c>
      <c r="M32" s="317">
        <f>'По терминалам'!M80</f>
        <v>0</v>
      </c>
      <c r="N32" s="12">
        <f>'По терминалам'!N80</f>
        <v>6</v>
      </c>
      <c r="O32" s="12">
        <f>'По терминалам'!O80</f>
        <v>8</v>
      </c>
      <c r="P32" s="66">
        <f>'По терминалам'!P80</f>
        <v>2</v>
      </c>
      <c r="Q32" s="59" t="str">
        <f>'По терминалам'!Q80</f>
        <v>73C</v>
      </c>
      <c r="Y32" s="173" t="str">
        <f>D31</f>
        <v>РЩГ-1 1НА05 защиты 1Т 2к</v>
      </c>
    </row>
    <row r="33">
      <c r="B33" s="103">
        <v>23</v>
      </c>
      <c r="C33" s="315"/>
      <c r="D33" s="326"/>
      <c r="E33" s="12" t="str">
        <f>'По терминалам'!E81</f>
        <v>С421</v>
      </c>
      <c r="F33" s="317"/>
      <c r="G33" s="66">
        <f>'По терминалам'!G81</f>
        <v>138</v>
      </c>
      <c r="H33" s="66">
        <f>'По терминалам'!H81</f>
        <v>2</v>
      </c>
      <c r="I33" s="66" t="str">
        <f>'По терминалам'!I81</f>
        <v>43L</v>
      </c>
      <c r="J33" s="66">
        <f>'По терминалам'!J81</f>
        <v>142</v>
      </c>
      <c r="K33" s="66">
        <f>'По терминалам'!K81</f>
        <v>1</v>
      </c>
      <c r="L33" s="66" t="str">
        <f>'По терминалам'!L81</f>
        <v>45L</v>
      </c>
      <c r="M33" s="359">
        <f>'По терминалам'!M81</f>
        <v>0</v>
      </c>
      <c r="N33" s="12">
        <f>'По терминалам'!N81</f>
        <v>10</v>
      </c>
      <c r="O33" s="12">
        <f>'По терминалам'!O81</f>
        <v>12</v>
      </c>
      <c r="P33" s="66">
        <f>'По терминалам'!P81</f>
        <v>2</v>
      </c>
      <c r="Q33" s="59" t="str">
        <f>'По терминалам'!Q81</f>
        <v>43L</v>
      </c>
      <c r="Y33" s="173" t="str">
        <f>D31</f>
        <v>РЩГ-1 1НА05 защиты 1Т 2к</v>
      </c>
    </row>
    <row r="34">
      <c r="B34" s="103">
        <v>24</v>
      </c>
      <c r="C34" s="315"/>
      <c r="D34" s="262"/>
      <c r="E34" s="13" t="str">
        <f>'По терминалам'!E82</f>
        <v>N421</v>
      </c>
      <c r="F34" s="304"/>
      <c r="G34" s="13">
        <f>'По терминалам'!G82</f>
        <v>139</v>
      </c>
      <c r="H34" s="63">
        <f>'По терминалам'!H82</f>
        <v>0</v>
      </c>
      <c r="I34" s="63" t="str">
        <f>'По терминалам'!I82</f>
        <v>-</v>
      </c>
      <c r="J34" s="13">
        <f>'По терминалам'!J82</f>
        <v>143</v>
      </c>
      <c r="K34" s="63">
        <f>'По терминалам'!K82</f>
        <v>0</v>
      </c>
      <c r="L34" s="63">
        <f>'По терминалам'!L82</f>
        <v>0</v>
      </c>
      <c r="M34" s="311" t="str">
        <f>'По терминалам'!M82</f>
        <v>-</v>
      </c>
      <c r="N34" s="312">
        <f>'По терминалам'!N82</f>
        <v>0</v>
      </c>
      <c r="O34" s="312">
        <f>'По терминалам'!O82</f>
        <v>0</v>
      </c>
      <c r="P34" s="312">
        <f>'По терминалам'!P82</f>
        <v>0</v>
      </c>
      <c r="Q34" s="313">
        <f>'По терминалам'!Q82</f>
        <v>0</v>
      </c>
      <c r="Y34" s="173" t="str">
        <f>D31</f>
        <v>РЩГ-1 1НА05 защиты 1Т 2к</v>
      </c>
    </row>
    <row r="35">
      <c r="B35" s="103">
        <v>25</v>
      </c>
      <c r="C35" s="315"/>
      <c r="D35" s="261" t="s">
        <v>390</v>
      </c>
      <c r="E35" s="65" t="str">
        <f>'По терминалам'!E267</f>
        <v>А422</v>
      </c>
      <c r="F35" s="303" t="s">
        <v>71</v>
      </c>
      <c r="G35" s="17">
        <f>'По терминалам'!G267</f>
        <v>1</v>
      </c>
      <c r="H35" s="65">
        <f>'По терминалам'!H267</f>
        <v>3</v>
      </c>
      <c r="I35" s="65" t="str">
        <f>'По терминалам'!I267</f>
        <v>17L</v>
      </c>
      <c r="J35" s="17">
        <f>'По терминалам'!J267</f>
        <v>2</v>
      </c>
      <c r="K35" s="65">
        <f>'По терминалам'!K267</f>
        <v>0</v>
      </c>
      <c r="L35" s="65">
        <f>'По терминалам'!L267</f>
        <v>0</v>
      </c>
      <c r="M35" s="303" t="str">
        <f>'По терминалам'!M267</f>
        <v>SG1</v>
      </c>
      <c r="N35" s="17">
        <f>'По терминалам'!N267</f>
        <v>2</v>
      </c>
      <c r="O35" s="17">
        <f>'По терминалам'!O267</f>
        <v>4</v>
      </c>
      <c r="P35" s="65">
        <f>'По терминалам'!P267</f>
        <v>0</v>
      </c>
      <c r="Q35" s="67">
        <f>'По терминалам'!Q267</f>
        <v>0</v>
      </c>
      <c r="Y35" s="173" t="str">
        <f>D35</f>
        <v>БВС-1 33Р ПА 2к</v>
      </c>
    </row>
    <row r="36">
      <c r="B36" s="103">
        <v>26</v>
      </c>
      <c r="C36" s="315"/>
      <c r="D36" s="326"/>
      <c r="E36" s="66" t="str">
        <f>'По терминалам'!E268</f>
        <v>В422</v>
      </c>
      <c r="F36" s="317"/>
      <c r="G36" s="12">
        <f>'По терминалам'!G268</f>
        <v>3</v>
      </c>
      <c r="H36" s="66">
        <f>'По терминалам'!H268</f>
        <v>3</v>
      </c>
      <c r="I36" s="66" t="str">
        <f>'По терминалам'!I268</f>
        <v>133L</v>
      </c>
      <c r="J36" s="12">
        <f>'По терминалам'!J268</f>
        <v>4</v>
      </c>
      <c r="K36" s="66">
        <f>'По терминалам'!K268</f>
        <v>0</v>
      </c>
      <c r="L36" s="66">
        <f>'По терминалам'!L268</f>
        <v>0</v>
      </c>
      <c r="M36" s="317">
        <f>'По терминалам'!M268</f>
        <v>0</v>
      </c>
      <c r="N36" s="12">
        <f>'По терминалам'!N268</f>
        <v>6</v>
      </c>
      <c r="O36" s="12">
        <f>'По терминалам'!O268</f>
        <v>8</v>
      </c>
      <c r="P36" s="66">
        <f>'По терминалам'!P268</f>
        <v>0</v>
      </c>
      <c r="Q36" s="68">
        <f>'По терминалам'!Q268</f>
        <v>0</v>
      </c>
      <c r="Y36" s="173" t="str">
        <f>D35</f>
        <v>БВС-1 33Р ПА 2к</v>
      </c>
    </row>
    <row r="37">
      <c r="B37" s="103">
        <v>27</v>
      </c>
      <c r="C37" s="315"/>
      <c r="D37" s="326"/>
      <c r="E37" s="12" t="str">
        <f>'По терминалам'!E269</f>
        <v>С422</v>
      </c>
      <c r="F37" s="317"/>
      <c r="G37" s="12">
        <f>'По терминалам'!G269</f>
        <v>5</v>
      </c>
      <c r="H37" s="66">
        <f>'По терминалам'!H269</f>
        <v>3</v>
      </c>
      <c r="I37" s="66" t="str">
        <f>'По терминалам'!I269</f>
        <v>105C</v>
      </c>
      <c r="J37" s="12">
        <f>'По терминалам'!J269</f>
        <v>6</v>
      </c>
      <c r="K37" s="66">
        <f>'По терминалам'!K269</f>
        <v>0</v>
      </c>
      <c r="L37" s="66">
        <f>'По терминалам'!L269</f>
        <v>0</v>
      </c>
      <c r="M37" s="359">
        <f>'По терминалам'!M269</f>
        <v>0</v>
      </c>
      <c r="N37" s="12">
        <f>'По терминалам'!N269</f>
        <v>10</v>
      </c>
      <c r="O37" s="12">
        <f>'По терминалам'!O269</f>
        <v>12</v>
      </c>
      <c r="P37" s="66">
        <f>'По терминалам'!P269</f>
        <v>0</v>
      </c>
      <c r="Q37" s="68">
        <f>'По терминалам'!Q269</f>
        <v>0</v>
      </c>
      <c r="Y37" s="173" t="str">
        <f>D35</f>
        <v>БВС-1 33Р ПА 2к</v>
      </c>
    </row>
    <row r="38">
      <c r="B38" s="103">
        <v>28</v>
      </c>
      <c r="C38" s="315"/>
      <c r="D38" s="262"/>
      <c r="E38" s="13" t="str">
        <f>'По терминалам'!E270</f>
        <v>N421</v>
      </c>
      <c r="F38" s="304"/>
      <c r="G38" s="13">
        <f>'По терминалам'!G270</f>
        <v>7</v>
      </c>
      <c r="H38" s="63">
        <f>'По терминалам'!H270</f>
        <v>0</v>
      </c>
      <c r="I38" s="63" t="str">
        <f>'По терминалам'!I270</f>
        <v>-</v>
      </c>
      <c r="J38" s="13">
        <f>'По терминалам'!J270</f>
        <v>8</v>
      </c>
      <c r="K38" s="63">
        <f>'По терминалам'!K270</f>
        <v>0</v>
      </c>
      <c r="L38" s="63">
        <f>'По терминалам'!L270</f>
        <v>0</v>
      </c>
      <c r="M38" s="311" t="str">
        <f>'По терминалам'!M270</f>
        <v>-</v>
      </c>
      <c r="N38" s="312">
        <f>'По терминалам'!N270</f>
        <v>0</v>
      </c>
      <c r="O38" s="312">
        <f>'По терминалам'!O270</f>
        <v>0</v>
      </c>
      <c r="P38" s="312">
        <f>'По терминалам'!P270</f>
        <v>0</v>
      </c>
      <c r="Q38" s="313">
        <f>'По терминалам'!Q270</f>
        <v>0</v>
      </c>
      <c r="Y38" s="173" t="str">
        <f>D35</f>
        <v>БВС-1 33Р ПА 2к</v>
      </c>
    </row>
    <row r="39">
      <c r="B39" s="103">
        <v>29</v>
      </c>
      <c r="C39" s="315"/>
      <c r="D39" s="261" t="s">
        <v>377</v>
      </c>
      <c r="E39" s="65" t="str">
        <f>'По терминалам'!E251</f>
        <v>А423</v>
      </c>
      <c r="F39" s="303" t="s">
        <v>357</v>
      </c>
      <c r="G39" s="17">
        <f>'По терминалам'!G251</f>
        <v>1</v>
      </c>
      <c r="H39" s="65">
        <f>'По терминалам'!H251</f>
        <v>0</v>
      </c>
      <c r="I39" s="65">
        <f>'По терминалам'!I251</f>
        <v>0</v>
      </c>
      <c r="J39" s="17">
        <f>'По терминалам'!J251</f>
        <v>5</v>
      </c>
      <c r="K39" s="65">
        <f>'По терминалам'!K251</f>
        <v>0</v>
      </c>
      <c r="L39" s="65">
        <f>'По терминалам'!L251</f>
        <v>0</v>
      </c>
      <c r="M39" s="303" t="str">
        <f>'По терминалам'!M251</f>
        <v>SGA3</v>
      </c>
      <c r="N39" s="17">
        <f>'По терминалам'!N251</f>
        <v>2</v>
      </c>
      <c r="O39" s="17">
        <f>'По терминалам'!O251</f>
        <v>4</v>
      </c>
      <c r="P39" s="65">
        <f>'По терминалам'!P251</f>
        <v>0</v>
      </c>
      <c r="Q39" s="67">
        <f>'По терминалам'!Q251</f>
        <v>0</v>
      </c>
      <c r="Y39" s="173" t="str">
        <f>D39</f>
        <v>БВС-1 Шкаф 40Р ДЗО 2к</v>
      </c>
    </row>
    <row r="40">
      <c r="B40" s="103">
        <v>30</v>
      </c>
      <c r="C40" s="315"/>
      <c r="D40" s="326"/>
      <c r="E40" s="66" t="str">
        <f>'По терминалам'!E252</f>
        <v>В423</v>
      </c>
      <c r="F40" s="317"/>
      <c r="G40" s="12">
        <f>'По терминалам'!G252</f>
        <v>2</v>
      </c>
      <c r="H40" s="66">
        <f>'По терминалам'!H252</f>
        <v>0</v>
      </c>
      <c r="I40" s="66">
        <f>'По терминалам'!I252</f>
        <v>0</v>
      </c>
      <c r="J40" s="12">
        <f>'По терминалам'!J252</f>
        <v>6</v>
      </c>
      <c r="K40" s="66">
        <f>'По терминалам'!K252</f>
        <v>0</v>
      </c>
      <c r="L40" s="66">
        <f>'По терминалам'!L252</f>
        <v>0</v>
      </c>
      <c r="M40" s="317">
        <f>'По терминалам'!M252</f>
        <v>0</v>
      </c>
      <c r="N40" s="12">
        <f>'По терминалам'!N252</f>
        <v>6</v>
      </c>
      <c r="O40" s="12">
        <f>'По терминалам'!O252</f>
        <v>8</v>
      </c>
      <c r="P40" s="66">
        <f>'По терминалам'!P252</f>
        <v>0</v>
      </c>
      <c r="Q40" s="68">
        <f>'По терминалам'!Q252</f>
        <v>0</v>
      </c>
      <c r="Y40" s="173" t="str">
        <f>D39</f>
        <v>БВС-1 Шкаф 40Р ДЗО 2к</v>
      </c>
    </row>
    <row r="41">
      <c r="B41" s="103">
        <v>31</v>
      </c>
      <c r="C41" s="315"/>
      <c r="D41" s="326"/>
      <c r="E41" s="12" t="str">
        <f>'По терминалам'!E253</f>
        <v>С423</v>
      </c>
      <c r="F41" s="317"/>
      <c r="G41" s="12">
        <f>'По терминалам'!G253</f>
        <v>3</v>
      </c>
      <c r="H41" s="66">
        <f>'По терминалам'!H253</f>
        <v>0</v>
      </c>
      <c r="I41" s="66">
        <f>'По терминалам'!I253</f>
        <v>0</v>
      </c>
      <c r="J41" s="12">
        <f>'По терминалам'!J253</f>
        <v>7</v>
      </c>
      <c r="K41" s="66">
        <f>'По терминалам'!K253</f>
        <v>0</v>
      </c>
      <c r="L41" s="66">
        <f>'По терминалам'!L253</f>
        <v>0</v>
      </c>
      <c r="M41" s="359">
        <f>'По терминалам'!M253</f>
        <v>0</v>
      </c>
      <c r="N41" s="12">
        <f>'По терминалам'!N253</f>
        <v>10</v>
      </c>
      <c r="O41" s="12">
        <f>'По терминалам'!O253</f>
        <v>12</v>
      </c>
      <c r="P41" s="66">
        <f>'По терминалам'!P253</f>
        <v>0</v>
      </c>
      <c r="Q41" s="68">
        <f>'По терминалам'!Q253</f>
        <v>0</v>
      </c>
      <c r="Y41" s="173" t="str">
        <f>D39</f>
        <v>БВС-1 Шкаф 40Р ДЗО 2к</v>
      </c>
    </row>
    <row r="42">
      <c r="B42" s="103">
        <v>32</v>
      </c>
      <c r="C42" s="315"/>
      <c r="D42" s="262"/>
      <c r="E42" s="13" t="str">
        <f>'По терминалам'!E254</f>
        <v>N421</v>
      </c>
      <c r="F42" s="304"/>
      <c r="G42" s="13">
        <f>'По терминалам'!G254</f>
        <v>4</v>
      </c>
      <c r="H42" s="63">
        <f>'По терминалам'!H254</f>
        <v>0</v>
      </c>
      <c r="I42" s="63">
        <f>'По терминалам'!I254</f>
        <v>0</v>
      </c>
      <c r="J42" s="63">
        <f>'По терминалам'!J254</f>
        <v>4</v>
      </c>
      <c r="K42" s="63">
        <f>'По терминалам'!K254</f>
        <v>0</v>
      </c>
      <c r="L42" s="63">
        <f>'По терминалам'!L254</f>
        <v>0</v>
      </c>
      <c r="M42" s="311" t="str">
        <f>'По терминалам'!M254</f>
        <v>-</v>
      </c>
      <c r="N42" s="312">
        <f>'По терминалам'!N254</f>
        <v>0</v>
      </c>
      <c r="O42" s="312">
        <f>'По терминалам'!O254</f>
        <v>0</v>
      </c>
      <c r="P42" s="312">
        <f>'По терминалам'!P254</f>
        <v>0</v>
      </c>
      <c r="Q42" s="313">
        <f>'По терминалам'!Q254</f>
        <v>0</v>
      </c>
      <c r="Y42" s="173" t="str">
        <f>D39</f>
        <v>БВС-1 Шкаф 40Р ДЗО 2к</v>
      </c>
    </row>
    <row r="43">
      <c r="B43" s="103">
        <v>33</v>
      </c>
      <c r="C43" s="315"/>
      <c r="D43" s="261" t="s">
        <v>391</v>
      </c>
      <c r="E43" s="65" t="str">
        <f>'По терминалам'!E271</f>
        <v>А424</v>
      </c>
      <c r="F43" s="303" t="s">
        <v>393</v>
      </c>
      <c r="G43" s="17">
        <f>'По терминалам'!G271</f>
        <v>9</v>
      </c>
      <c r="H43" s="65">
        <f>'По терминалам'!H271</f>
        <v>0</v>
      </c>
      <c r="I43" s="65">
        <f>'По терминалам'!I271</f>
        <v>0</v>
      </c>
      <c r="J43" s="17">
        <f>'По терминалам'!J271</f>
        <v>10</v>
      </c>
      <c r="K43" s="65">
        <f>'По терминалам'!K271</f>
        <v>0</v>
      </c>
      <c r="L43" s="65">
        <f>'По терминалам'!L271</f>
        <v>0</v>
      </c>
      <c r="M43" s="263" t="str">
        <f>'По терминалам'!M271</f>
        <v>SG18-1 SG18-2</v>
      </c>
      <c r="N43" s="17">
        <f>'По терминалам'!N271</f>
        <v>2</v>
      </c>
      <c r="O43" s="17">
        <f>'По терминалам'!O271</f>
        <v>4</v>
      </c>
      <c r="P43" s="65">
        <f>'По терминалам'!P271</f>
        <v>0</v>
      </c>
      <c r="Q43" s="67">
        <f>'По терминалам'!Q271</f>
        <v>0</v>
      </c>
      <c r="Y43" s="173" t="str">
        <f>D43</f>
        <v>БВС-1 266Р ИП ТИ SIMEAS</v>
      </c>
    </row>
    <row r="44">
      <c r="B44" s="103">
        <v>34</v>
      </c>
      <c r="C44" s="315"/>
      <c r="D44" s="326"/>
      <c r="E44" s="66" t="str">
        <f>'По терминалам'!E272</f>
        <v>В424</v>
      </c>
      <c r="F44" s="317"/>
      <c r="G44" s="12">
        <f>'По терминалам'!G272</f>
        <v>11</v>
      </c>
      <c r="H44" s="66">
        <f>'По терминалам'!H272</f>
        <v>0</v>
      </c>
      <c r="I44" s="66">
        <f>'По терминалам'!I272</f>
        <v>0</v>
      </c>
      <c r="J44" s="12">
        <f>'По терминалам'!J272</f>
        <v>12</v>
      </c>
      <c r="K44" s="66">
        <f>'По терминалам'!K272</f>
        <v>0</v>
      </c>
      <c r="L44" s="66">
        <f>'По терминалам'!L272</f>
        <v>0</v>
      </c>
      <c r="M44" s="337">
        <f>'По терминалам'!M272</f>
        <v>0</v>
      </c>
      <c r="N44" s="12">
        <f>'По терминалам'!N272</f>
        <v>6</v>
      </c>
      <c r="O44" s="12">
        <f>'По терминалам'!O272</f>
        <v>8</v>
      </c>
      <c r="P44" s="66">
        <f>'По терминалам'!P272</f>
        <v>0</v>
      </c>
      <c r="Q44" s="68">
        <f>'По терминалам'!Q272</f>
        <v>0</v>
      </c>
      <c r="Y44" s="173" t="str">
        <f>D43</f>
        <v>БВС-1 266Р ИП ТИ SIMEAS</v>
      </c>
    </row>
    <row r="45">
      <c r="B45" s="103">
        <v>35</v>
      </c>
      <c r="C45" s="315"/>
      <c r="D45" s="326"/>
      <c r="E45" s="12" t="str">
        <f>'По терминалам'!E273</f>
        <v>С424</v>
      </c>
      <c r="F45" s="317"/>
      <c r="G45" s="12">
        <f>'По терминалам'!G273</f>
        <v>13</v>
      </c>
      <c r="H45" s="66">
        <f>'По терминалам'!H273</f>
        <v>0</v>
      </c>
      <c r="I45" s="66">
        <f>'По терминалам'!I273</f>
        <v>0</v>
      </c>
      <c r="J45" s="12">
        <f>'По терминалам'!J273</f>
        <v>14</v>
      </c>
      <c r="K45" s="66">
        <f>'По терминалам'!K273</f>
        <v>0</v>
      </c>
      <c r="L45" s="66">
        <f>'По терминалам'!L273</f>
        <v>0</v>
      </c>
      <c r="M45" s="360">
        <f>'По терминалам'!M273</f>
        <v>0</v>
      </c>
      <c r="N45" s="12">
        <f>'По терминалам'!N273</f>
        <v>10</v>
      </c>
      <c r="O45" s="12">
        <f>'По терминалам'!O273</f>
        <v>12</v>
      </c>
      <c r="P45" s="66">
        <f>'По терминалам'!P273</f>
        <v>0</v>
      </c>
      <c r="Q45" s="68">
        <f>'По терминалам'!Q273</f>
        <v>0</v>
      </c>
      <c r="Y45" s="173" t="str">
        <f>D43</f>
        <v>БВС-1 266Р ИП ТИ SIMEAS</v>
      </c>
    </row>
    <row r="46">
      <c r="B46" s="103">
        <v>36</v>
      </c>
      <c r="C46" s="316"/>
      <c r="D46" s="262"/>
      <c r="E46" s="13" t="str">
        <f>'По терминалам'!E274</f>
        <v>N421</v>
      </c>
      <c r="F46" s="304"/>
      <c r="G46" s="13">
        <f>'По терминалам'!G274</f>
        <v>14</v>
      </c>
      <c r="H46" s="13">
        <f>'По терминалам'!H274</f>
        <v>0</v>
      </c>
      <c r="I46" s="63">
        <f>'По терминалам'!I274</f>
        <v>0</v>
      </c>
      <c r="J46" s="63">
        <f>'По терминалам'!J274</f>
        <v>0</v>
      </c>
      <c r="K46" s="63">
        <f>'По терминалам'!K274</f>
        <v>0</v>
      </c>
      <c r="L46" s="63">
        <f>'По терминалам'!L274</f>
        <v>0</v>
      </c>
      <c r="M46" s="311" t="str">
        <f>'По терминалам'!M274</f>
        <v>-</v>
      </c>
      <c r="N46" s="312">
        <f>'По терминалам'!N274</f>
        <v>0</v>
      </c>
      <c r="O46" s="312">
        <f>'По терминалам'!O274</f>
        <v>0</v>
      </c>
      <c r="P46" s="312">
        <f>'По терминалам'!P274</f>
        <v>0</v>
      </c>
      <c r="Q46" s="313">
        <f>'По терминалам'!Q274</f>
        <v>0</v>
      </c>
      <c r="Y46" s="173" t="str">
        <f>D43</f>
        <v>БВС-1 266Р ИП ТИ SIMEAS</v>
      </c>
    </row>
    <row r="47" ht="28.5">
      <c r="B47" s="103">
        <v>37</v>
      </c>
      <c r="C47" s="292" t="s">
        <v>309</v>
      </c>
      <c r="D47" s="286" t="s">
        <v>310</v>
      </c>
      <c r="E47" s="73" t="str">
        <f>'По терминалам'!E141</f>
        <v>А431</v>
      </c>
      <c r="F47" s="265" t="s">
        <v>114</v>
      </c>
      <c r="G47" s="268" t="str">
        <f>'По терминалам'!G141</f>
        <v>-</v>
      </c>
      <c r="H47" s="269">
        <f>'По терминалам'!H141</f>
        <v>0</v>
      </c>
      <c r="I47" s="292">
        <f>'По терминалам'!I141</f>
        <v>0</v>
      </c>
      <c r="J47" s="73">
        <f>'По терминалам'!J141</f>
        <v>1</v>
      </c>
      <c r="K47" s="73">
        <f>'По терминалам'!K141</f>
        <v>14</v>
      </c>
      <c r="L47" s="73" t="str">
        <f>'По терминалам'!L141</f>
        <v>163L</v>
      </c>
      <c r="M47" s="268" t="str">
        <f>'По терминалам'!M141</f>
        <v>Нет БИ</v>
      </c>
      <c r="N47" s="269">
        <f>'По терминалам'!N141</f>
        <v>0</v>
      </c>
      <c r="O47" s="269">
        <f>'По терминалам'!O141</f>
        <v>0</v>
      </c>
      <c r="P47" s="269">
        <f>'По терминалам'!P141</f>
        <v>0</v>
      </c>
      <c r="Q47" s="270">
        <f>'По терминалам'!Q141</f>
        <v>0</v>
      </c>
      <c r="S47" s="4" t="s">
        <v>397</v>
      </c>
      <c r="T47" s="5" t="s">
        <v>398</v>
      </c>
      <c r="U47" s="5" t="s">
        <v>399</v>
      </c>
      <c r="V47" s="5" t="s">
        <v>400</v>
      </c>
      <c r="W47" s="6" t="s">
        <v>401</v>
      </c>
      <c r="Y47" s="173" t="str">
        <f>D47</f>
        <v>ЭГРУ ШТН</v>
      </c>
    </row>
    <row r="48">
      <c r="B48" s="103">
        <v>38</v>
      </c>
      <c r="C48" s="293"/>
      <c r="D48" s="287"/>
      <c r="E48" s="74" t="str">
        <f>'По терминалам'!E142</f>
        <v>В431</v>
      </c>
      <c r="F48" s="266"/>
      <c r="G48" s="271">
        <f>'По терминалам'!G142</f>
        <v>0</v>
      </c>
      <c r="H48" s="272">
        <f>'По терминалам'!H142</f>
        <v>0</v>
      </c>
      <c r="I48" s="293">
        <f>'По терминалам'!I142</f>
        <v>0</v>
      </c>
      <c r="J48" s="74">
        <f>'По терминалам'!J142</f>
        <v>2</v>
      </c>
      <c r="K48" s="74">
        <f>'По терминалам'!K142</f>
        <v>14</v>
      </c>
      <c r="L48" s="74" t="str">
        <f>'По терминалам'!L142</f>
        <v>79C</v>
      </c>
      <c r="M48" s="271">
        <f>'По терминалам'!M142</f>
        <v>0</v>
      </c>
      <c r="N48" s="272">
        <f>'По терминалам'!N142</f>
        <v>0</v>
      </c>
      <c r="O48" s="272">
        <f>'По терминалам'!O142</f>
        <v>0</v>
      </c>
      <c r="P48" s="272">
        <f>'По терминалам'!P142</f>
        <v>0</v>
      </c>
      <c r="Q48" s="273">
        <f>'По терминалам'!Q142</f>
        <v>0</v>
      </c>
      <c r="S48" s="8" t="s">
        <v>324</v>
      </c>
      <c r="T48" s="9"/>
      <c r="U48" s="9"/>
      <c r="V48" s="9"/>
      <c r="W48" s="10"/>
      <c r="Y48" s="173" t="str">
        <f>D47</f>
        <v>ЭГРУ ШТН</v>
      </c>
    </row>
    <row r="49">
      <c r="B49" s="103">
        <v>39</v>
      </c>
      <c r="C49" s="293"/>
      <c r="D49" s="287"/>
      <c r="E49" s="74" t="str">
        <f>'По терминалам'!E143</f>
        <v>С431</v>
      </c>
      <c r="F49" s="266"/>
      <c r="G49" s="271">
        <f>'По терминалам'!G143</f>
        <v>0</v>
      </c>
      <c r="H49" s="272">
        <f>'По терминалам'!H143</f>
        <v>0</v>
      </c>
      <c r="I49" s="293">
        <f>'По терминалам'!I143</f>
        <v>0</v>
      </c>
      <c r="J49" s="74">
        <f>'По терминалам'!J143</f>
        <v>3</v>
      </c>
      <c r="K49" s="74">
        <f>'По терминалам'!K143</f>
        <v>14</v>
      </c>
      <c r="L49" s="74" t="str">
        <f>'По терминалам'!L143</f>
        <v>45L</v>
      </c>
      <c r="M49" s="271">
        <f>'По терминалам'!M143</f>
        <v>0</v>
      </c>
      <c r="N49" s="272">
        <f>'По терминалам'!N143</f>
        <v>0</v>
      </c>
      <c r="O49" s="272">
        <f>'По терминалам'!O143</f>
        <v>0</v>
      </c>
      <c r="P49" s="272">
        <f>'По терминалам'!P143</f>
        <v>0</v>
      </c>
      <c r="Q49" s="273">
        <f>'По терминалам'!Q143</f>
        <v>0</v>
      </c>
      <c r="Y49" s="173" t="str">
        <f>D47</f>
        <v>ЭГРУ ШТН</v>
      </c>
    </row>
    <row r="50">
      <c r="B50" s="103">
        <v>40</v>
      </c>
      <c r="C50" s="293"/>
      <c r="D50" s="288"/>
      <c r="E50" s="75" t="str">
        <f>'По терминалам'!E144</f>
        <v>N431</v>
      </c>
      <c r="F50" s="267"/>
      <c r="G50" s="274">
        <f>'По терминалам'!G144</f>
        <v>0</v>
      </c>
      <c r="H50" s="275">
        <f>'По терминалам'!H144</f>
        <v>0</v>
      </c>
      <c r="I50" s="294">
        <f>'По терминалам'!I144</f>
        <v>0</v>
      </c>
      <c r="J50" s="75">
        <f>'По терминалам'!J144</f>
        <v>4</v>
      </c>
      <c r="K50" s="75">
        <f>'По терминалам'!K144</f>
        <v>0</v>
      </c>
      <c r="L50" s="75" t="str">
        <f>'По терминалам'!L144</f>
        <v>-</v>
      </c>
      <c r="M50" s="274">
        <f>'По терминалам'!M144</f>
        <v>0</v>
      </c>
      <c r="N50" s="275">
        <f>'По терминалам'!N144</f>
        <v>0</v>
      </c>
      <c r="O50" s="275">
        <f>'По терминалам'!O144</f>
        <v>0</v>
      </c>
      <c r="P50" s="275">
        <f>'По терминалам'!P144</f>
        <v>0</v>
      </c>
      <c r="Q50" s="276">
        <f>'По терминалам'!Q144</f>
        <v>0</v>
      </c>
      <c r="Y50" s="173" t="str">
        <f>D47</f>
        <v>ЭГРУ ШТН</v>
      </c>
    </row>
    <row r="51">
      <c r="B51" s="103">
        <v>41</v>
      </c>
      <c r="C51" s="293"/>
      <c r="D51" s="286" t="s">
        <v>113</v>
      </c>
      <c r="E51" s="73" t="str">
        <f>'По терминалам'!E11</f>
        <v>А431</v>
      </c>
      <c r="F51" s="265" t="s">
        <v>114</v>
      </c>
      <c r="G51" s="73">
        <f>'По терминалам'!G11</f>
        <v>120</v>
      </c>
      <c r="H51" s="73">
        <f>'По терминалам'!H11</f>
        <v>15</v>
      </c>
      <c r="I51" s="73" t="str">
        <f>'По терминалам'!I11</f>
        <v>167L</v>
      </c>
      <c r="J51" s="268" t="str">
        <f>'По терминалам'!J11</f>
        <v>-</v>
      </c>
      <c r="K51" s="269">
        <f>'По терминалам'!K11</f>
        <v>0</v>
      </c>
      <c r="L51" s="292">
        <f>'По терминалам'!L11</f>
        <v>0</v>
      </c>
      <c r="M51" s="265" t="str">
        <f>'По терминалам'!M11</f>
        <v>SG3</v>
      </c>
      <c r="N51" s="73">
        <f>'По терминалам'!N11</f>
        <v>2</v>
      </c>
      <c r="O51" s="73">
        <f>'По терминалам'!O11</f>
        <v>4</v>
      </c>
      <c r="P51" s="73">
        <f>'По терминалам'!P11</f>
        <v>16</v>
      </c>
      <c r="Q51" s="76" t="str">
        <f>'По терминалам'!Q11</f>
        <v>162L</v>
      </c>
      <c r="Y51" s="173" t="str">
        <f>D51</f>
        <v>РЩГ-1 1НА01 защиты 1Г 1к</v>
      </c>
    </row>
    <row r="52">
      <c r="B52" s="103">
        <v>42</v>
      </c>
      <c r="C52" s="293"/>
      <c r="D52" s="287"/>
      <c r="E52" s="74" t="str">
        <f>'По терминалам'!E12</f>
        <v>В431</v>
      </c>
      <c r="F52" s="266"/>
      <c r="G52" s="74">
        <f>'По терминалам'!G12</f>
        <v>121</v>
      </c>
      <c r="H52" s="74">
        <f>'По терминалам'!H12</f>
        <v>17</v>
      </c>
      <c r="I52" s="74" t="str">
        <f>'По терминалам'!I12</f>
        <v>73C</v>
      </c>
      <c r="J52" s="271">
        <f>'По терминалам'!J12</f>
        <v>0</v>
      </c>
      <c r="K52" s="272">
        <f>'По терминалам'!K12</f>
        <v>0</v>
      </c>
      <c r="L52" s="293">
        <f>'По терминалам'!L12</f>
        <v>0</v>
      </c>
      <c r="M52" s="266">
        <f>'По терминалам'!M12</f>
        <v>0</v>
      </c>
      <c r="N52" s="74">
        <f>'По терминалам'!N12</f>
        <v>6</v>
      </c>
      <c r="O52" s="74">
        <f>'По терминалам'!O12</f>
        <v>8</v>
      </c>
      <c r="P52" s="74">
        <f>'По терминалам'!P12</f>
        <v>16</v>
      </c>
      <c r="Q52" s="77" t="str">
        <f>'По терминалам'!Q12</f>
        <v>77C</v>
      </c>
      <c r="Y52" s="173" t="str">
        <f>D51</f>
        <v>РЩГ-1 1НА01 защиты 1Г 1к</v>
      </c>
    </row>
    <row r="53">
      <c r="B53" s="103">
        <v>43</v>
      </c>
      <c r="C53" s="293"/>
      <c r="D53" s="287"/>
      <c r="E53" s="74" t="str">
        <f>'По терминалам'!E13</f>
        <v>С431</v>
      </c>
      <c r="F53" s="266"/>
      <c r="G53" s="74">
        <f>'По терминалам'!G13</f>
        <v>122</v>
      </c>
      <c r="H53" s="74">
        <f>'По терминалам'!H13</f>
        <v>16</v>
      </c>
      <c r="I53" s="74" t="str">
        <f>'По терминалам'!I13</f>
        <v>43L</v>
      </c>
      <c r="J53" s="376">
        <f>'По терминалам'!J13</f>
        <v>0</v>
      </c>
      <c r="K53" s="377">
        <f>'По терминалам'!K13</f>
        <v>0</v>
      </c>
      <c r="L53" s="378">
        <f>'По терминалам'!L13</f>
        <v>0</v>
      </c>
      <c r="M53" s="295">
        <f>'По терминалам'!M13</f>
        <v>0</v>
      </c>
      <c r="N53" s="74">
        <f>'По терминалам'!N13</f>
        <v>10</v>
      </c>
      <c r="O53" s="74">
        <f>'По терминалам'!O13</f>
        <v>12</v>
      </c>
      <c r="P53" s="74">
        <f>'По терминалам'!P13</f>
        <v>16</v>
      </c>
      <c r="Q53" s="77" t="str">
        <f>'По терминалам'!Q13</f>
        <v>45L</v>
      </c>
      <c r="Y53" s="173" t="str">
        <f>D51</f>
        <v>РЩГ-1 1НА01 защиты 1Г 1к</v>
      </c>
    </row>
    <row r="54">
      <c r="B54" s="103">
        <v>44</v>
      </c>
      <c r="C54" s="294"/>
      <c r="D54" s="288"/>
      <c r="E54" s="75" t="str">
        <f>'По терминалам'!E14</f>
        <v>N431</v>
      </c>
      <c r="F54" s="267"/>
      <c r="G54" s="75">
        <f>'По терминалам'!G14</f>
        <v>123</v>
      </c>
      <c r="H54" s="75">
        <f>'По терминалам'!H14</f>
        <v>1</v>
      </c>
      <c r="I54" s="75" t="str">
        <f>'По терминалам'!I14</f>
        <v>-</v>
      </c>
      <c r="J54" s="75">
        <f>'По терминалам'!J14</f>
        <v>126</v>
      </c>
      <c r="K54" s="75">
        <f>'По терминалам'!K14</f>
        <v>0</v>
      </c>
      <c r="L54" s="75" t="str">
        <f>'По терминалам'!L14</f>
        <v>-</v>
      </c>
      <c r="M54" s="373" t="str">
        <f>'По терминалам'!M14</f>
        <v>-</v>
      </c>
      <c r="N54" s="374">
        <f>'По терминалам'!N14</f>
        <v>0</v>
      </c>
      <c r="O54" s="374">
        <f>'По терминалам'!O14</f>
        <v>0</v>
      </c>
      <c r="P54" s="374">
        <f>'По терминалам'!P14</f>
        <v>0</v>
      </c>
      <c r="Q54" s="375">
        <f>'По терминалам'!Q14</f>
        <v>0</v>
      </c>
      <c r="Y54" s="173" t="str">
        <f>D51</f>
        <v>РЩГ-1 1НА01 защиты 1Г 1к</v>
      </c>
    </row>
    <row r="55" ht="28.5">
      <c r="B55" s="103">
        <v>45</v>
      </c>
      <c r="C55" s="314" t="s">
        <v>163</v>
      </c>
      <c r="D55" s="261" t="s">
        <v>327</v>
      </c>
      <c r="E55" s="65" t="str">
        <f>'По терминалам'!E215</f>
        <v>A431</v>
      </c>
      <c r="F55" s="261" t="s">
        <v>24</v>
      </c>
      <c r="G55" s="65">
        <f>'По терминалам'!G215</f>
        <v>0</v>
      </c>
      <c r="H55" s="65">
        <f>'По терминалам'!H215</f>
        <v>0</v>
      </c>
      <c r="I55" s="65">
        <f>'По терминалам'!I215</f>
        <v>0</v>
      </c>
      <c r="J55" s="22" t="str">
        <f>'По терминалам'!J215</f>
        <v>X124</v>
      </c>
      <c r="K55" s="65">
        <f>'По терминалам'!K215</f>
        <v>14</v>
      </c>
      <c r="L55" s="65" t="str">
        <f>'По терминалам'!L215</f>
        <v>163L</v>
      </c>
      <c r="M55" s="305" t="str">
        <f>'По терминалам'!M215</f>
        <v>Нет БИ</v>
      </c>
      <c r="N55" s="306">
        <f>'По терминалам'!N215</f>
        <v>0</v>
      </c>
      <c r="O55" s="306">
        <f>'По терминалам'!O215</f>
        <v>0</v>
      </c>
      <c r="P55" s="306">
        <f>'По терминалам'!P215</f>
        <v>0</v>
      </c>
      <c r="Q55" s="307">
        <f>'По терминалам'!Q215</f>
        <v>0</v>
      </c>
      <c r="S55" s="4" t="s">
        <v>397</v>
      </c>
      <c r="T55" s="5" t="s">
        <v>398</v>
      </c>
      <c r="U55" s="5" t="s">
        <v>399</v>
      </c>
      <c r="V55" s="5" t="s">
        <v>400</v>
      </c>
      <c r="W55" s="6" t="s">
        <v>401</v>
      </c>
      <c r="Y55" s="173" t="str">
        <f>D55</f>
        <v>Шкаф ВШБ-13</v>
      </c>
    </row>
    <row r="56">
      <c r="B56" s="103">
        <v>46</v>
      </c>
      <c r="C56" s="315"/>
      <c r="D56" s="326"/>
      <c r="E56" s="66" t="str">
        <f>'По терминалам'!E216</f>
        <v>B431</v>
      </c>
      <c r="F56" s="326"/>
      <c r="G56" s="66">
        <f>'По терминалам'!G216</f>
        <v>0</v>
      </c>
      <c r="H56" s="66">
        <f>'По терминалам'!H216</f>
        <v>0</v>
      </c>
      <c r="I56" s="66">
        <f>'По терминалам'!I216</f>
        <v>0</v>
      </c>
      <c r="J56" s="18" t="str">
        <f>'По терминалам'!J216</f>
        <v>X125</v>
      </c>
      <c r="K56" s="66">
        <f>'По терминалам'!K216</f>
        <v>14</v>
      </c>
      <c r="L56" s="66" t="str">
        <f>'По терминалам'!L216</f>
        <v>79C</v>
      </c>
      <c r="M56" s="308">
        <f>'По терминалам'!M216</f>
        <v>0</v>
      </c>
      <c r="N56" s="309">
        <f>'По терминалам'!N216</f>
        <v>0</v>
      </c>
      <c r="O56" s="309">
        <f>'По терминалам'!O216</f>
        <v>0</v>
      </c>
      <c r="P56" s="309">
        <f>'По терминалам'!P216</f>
        <v>0</v>
      </c>
      <c r="Q56" s="310">
        <f>'По терминалам'!Q216</f>
        <v>0</v>
      </c>
      <c r="S56" s="8" t="s">
        <v>405</v>
      </c>
      <c r="T56" s="9" t="s">
        <v>402</v>
      </c>
      <c r="U56" s="9" t="s">
        <v>406</v>
      </c>
      <c r="V56" s="9"/>
      <c r="W56" s="10"/>
      <c r="Y56" s="173" t="str">
        <f>D55</f>
        <v>Шкаф ВШБ-13</v>
      </c>
    </row>
    <row r="57">
      <c r="B57" s="103">
        <v>47</v>
      </c>
      <c r="C57" s="315"/>
      <c r="D57" s="326"/>
      <c r="E57" s="12" t="str">
        <f>'По терминалам'!E217</f>
        <v>C431</v>
      </c>
      <c r="F57" s="326"/>
      <c r="G57" s="66">
        <f>'По терминалам'!G217</f>
        <v>0</v>
      </c>
      <c r="H57" s="66">
        <f>'По терминалам'!H217</f>
        <v>0</v>
      </c>
      <c r="I57" s="66">
        <f>'По терминалам'!I217</f>
        <v>0</v>
      </c>
      <c r="J57" s="18" t="str">
        <f>'По терминалам'!J217</f>
        <v>X126</v>
      </c>
      <c r="K57" s="66">
        <f>'По терминалам'!K217</f>
        <v>14</v>
      </c>
      <c r="L57" s="66" t="str">
        <f>'По терминалам'!L217</f>
        <v>45L</v>
      </c>
      <c r="M57" s="308">
        <f>'По терминалам'!M217</f>
        <v>0</v>
      </c>
      <c r="N57" s="309">
        <f>'По терминалам'!N217</f>
        <v>0</v>
      </c>
      <c r="O57" s="309">
        <f>'По терминалам'!O217</f>
        <v>0</v>
      </c>
      <c r="P57" s="309">
        <f>'По терминалам'!P217</f>
        <v>0</v>
      </c>
      <c r="Q57" s="310">
        <f>'По терминалам'!Q217</f>
        <v>0</v>
      </c>
      <c r="Y57" s="173" t="str">
        <f>D55</f>
        <v>Шкаф ВШБ-13</v>
      </c>
    </row>
    <row r="58" ht="45">
      <c r="B58" s="103">
        <v>48</v>
      </c>
      <c r="C58" s="315"/>
      <c r="D58" s="343"/>
      <c r="E58" s="28" t="str">
        <f>'По терминалам'!E218</f>
        <v>N431</v>
      </c>
      <c r="F58" s="343"/>
      <c r="G58" s="29">
        <f>'По терминалам'!G218</f>
        <v>0</v>
      </c>
      <c r="H58" s="29">
        <f>'По терминалам'!H218</f>
        <v>0</v>
      </c>
      <c r="I58" s="29">
        <f>'По терминалам'!I218</f>
        <v>0</v>
      </c>
      <c r="J58" s="79" t="str">
        <f>'По терминалам'!J218</f>
        <v>X121 X122 X123</v>
      </c>
      <c r="K58" s="29">
        <f>'По терминалам'!K218</f>
        <v>0</v>
      </c>
      <c r="L58" s="29" t="str">
        <f>'По терминалам'!L218</f>
        <v>-</v>
      </c>
      <c r="M58" s="308">
        <f>'По терминалам'!M218</f>
        <v>0</v>
      </c>
      <c r="N58" s="309">
        <f>'По терминалам'!N218</f>
        <v>0</v>
      </c>
      <c r="O58" s="309">
        <f>'По терминалам'!O218</f>
        <v>0</v>
      </c>
      <c r="P58" s="309">
        <f>'По терминалам'!P218</f>
        <v>0</v>
      </c>
      <c r="Q58" s="310">
        <f>'По терминалам'!Q218</f>
        <v>0</v>
      </c>
      <c r="Y58" s="173" t="str">
        <f>D55</f>
        <v>Шкаф ВШБ-13</v>
      </c>
    </row>
    <row r="59">
      <c r="B59" s="103">
        <v>49</v>
      </c>
      <c r="C59" s="315"/>
      <c r="D59" s="261" t="s">
        <v>356</v>
      </c>
      <c r="E59" s="65" t="str">
        <f>'По терминалам'!E243</f>
        <v>А431</v>
      </c>
      <c r="F59" s="339" t="s">
        <v>359</v>
      </c>
      <c r="G59" s="65" t="str">
        <f>'По терминалам'!G243</f>
        <v>01XC1</v>
      </c>
      <c r="H59" s="65">
        <f>'По терминалам'!H243</f>
        <v>14</v>
      </c>
      <c r="I59" s="65" t="str">
        <f>'По терминалам'!I243</f>
        <v>163L</v>
      </c>
      <c r="J59" s="22" t="str">
        <f>'По терминалам'!J243</f>
        <v>01XC5</v>
      </c>
      <c r="K59" s="65">
        <f>'По терминалам'!K243</f>
        <v>0</v>
      </c>
      <c r="L59" s="65">
        <f>'По терминалам'!L243</f>
        <v>0</v>
      </c>
      <c r="M59" s="339" t="str">
        <f>'По терминалам'!M243</f>
        <v>SG2</v>
      </c>
      <c r="N59" s="17">
        <f>'По терминалам'!N243</f>
        <v>2</v>
      </c>
      <c r="O59" s="17">
        <f>'По терминалам'!O243</f>
        <v>4</v>
      </c>
      <c r="P59" s="45">
        <f>'По терминалам'!P243</f>
        <v>0</v>
      </c>
      <c r="Q59" s="67">
        <f>'По терминалам'!Q243</f>
        <v>0</v>
      </c>
      <c r="Y59" s="173" t="str">
        <f>D59</f>
        <v>БВС-1 Шкаф 39Р ДЗО 1к</v>
      </c>
    </row>
    <row r="60">
      <c r="B60" s="103">
        <v>50</v>
      </c>
      <c r="C60" s="315"/>
      <c r="D60" s="326"/>
      <c r="E60" s="66" t="str">
        <f>'По терминалам'!E244</f>
        <v>В431</v>
      </c>
      <c r="F60" s="340"/>
      <c r="G60" s="66" t="str">
        <f>'По терминалам'!G244</f>
        <v>01XC2</v>
      </c>
      <c r="H60" s="66">
        <f>'По терминалам'!H244</f>
        <v>14</v>
      </c>
      <c r="I60" s="66" t="str">
        <f>'По терминалам'!I244</f>
        <v>79C</v>
      </c>
      <c r="J60" s="18" t="str">
        <f>'По терминалам'!J244</f>
        <v>01XC6</v>
      </c>
      <c r="K60" s="66">
        <f>'По терминалам'!K244</f>
        <v>0</v>
      </c>
      <c r="L60" s="66">
        <f>'По терминалам'!L244</f>
        <v>0</v>
      </c>
      <c r="M60" s="340">
        <f>'По терминалам'!M244</f>
        <v>0</v>
      </c>
      <c r="N60" s="12">
        <f>'По терминалам'!N244</f>
        <v>6</v>
      </c>
      <c r="O60" s="12">
        <f>'По терминалам'!O244</f>
        <v>8</v>
      </c>
      <c r="P60" s="19">
        <f>'По терминалам'!P244</f>
        <v>0</v>
      </c>
      <c r="Q60" s="68">
        <f>'По терминалам'!Q244</f>
        <v>0</v>
      </c>
      <c r="Y60" s="173" t="str">
        <f>D59</f>
        <v>БВС-1 Шкаф 39Р ДЗО 1к</v>
      </c>
    </row>
    <row r="61">
      <c r="B61" s="103">
        <v>51</v>
      </c>
      <c r="C61" s="315"/>
      <c r="D61" s="326"/>
      <c r="E61" s="12" t="str">
        <f>'По терминалам'!E245</f>
        <v>С431</v>
      </c>
      <c r="F61" s="340"/>
      <c r="G61" s="66" t="str">
        <f>'По терминалам'!G245</f>
        <v>01XC3</v>
      </c>
      <c r="H61" s="66">
        <f>'По терминалам'!H245</f>
        <v>14</v>
      </c>
      <c r="I61" s="66" t="str">
        <f>'По терминалам'!I245</f>
        <v>45L</v>
      </c>
      <c r="J61" s="18" t="str">
        <f>'По терминалам'!J245</f>
        <v>01XC7</v>
      </c>
      <c r="K61" s="66">
        <f>'По терминалам'!K245</f>
        <v>0</v>
      </c>
      <c r="L61" s="66">
        <f>'По терминалам'!L245</f>
        <v>0</v>
      </c>
      <c r="M61" s="340">
        <f>'По терминалам'!M245</f>
        <v>0</v>
      </c>
      <c r="N61" s="12">
        <f>'По терминалам'!N245</f>
        <v>10</v>
      </c>
      <c r="O61" s="12">
        <f>'По терминалам'!O245</f>
        <v>12</v>
      </c>
      <c r="P61" s="19">
        <f>'По терминалам'!P245</f>
        <v>0</v>
      </c>
      <c r="Q61" s="68">
        <f>'По терминалам'!Q245</f>
        <v>0</v>
      </c>
      <c r="Y61" s="173" t="str">
        <f>D59</f>
        <v>БВС-1 Шкаф 39Р ДЗО 1к</v>
      </c>
    </row>
    <row r="62">
      <c r="B62" s="103">
        <v>52</v>
      </c>
      <c r="C62" s="315"/>
      <c r="D62" s="262"/>
      <c r="E62" s="13" t="str">
        <f>'По терминалам'!E246</f>
        <v>N431</v>
      </c>
      <c r="F62" s="342"/>
      <c r="G62" s="13" t="str">
        <f>'По терминалам'!G246</f>
        <v>01XC4</v>
      </c>
      <c r="H62" s="13">
        <f>'По терминалам'!H246</f>
        <v>0</v>
      </c>
      <c r="I62" s="13" t="str">
        <f>'По терминалам'!I246</f>
        <v>-</v>
      </c>
      <c r="J62" s="62" t="str">
        <f>'По терминалам'!J246</f>
        <v>01XC4a</v>
      </c>
      <c r="K62" s="13">
        <f>'По терминалам'!K246</f>
        <v>0</v>
      </c>
      <c r="L62" s="13">
        <f>'По терминалам'!L246</f>
        <v>0</v>
      </c>
      <c r="M62" s="357" t="str">
        <f>'По терминалам'!M246</f>
        <v>-</v>
      </c>
      <c r="N62" s="357">
        <f>'По терминалам'!N246</f>
        <v>0</v>
      </c>
      <c r="O62" s="357">
        <f>'По терминалам'!O246</f>
        <v>0</v>
      </c>
      <c r="P62" s="357">
        <f>'По терминалам'!P246</f>
        <v>0</v>
      </c>
      <c r="Q62" s="358">
        <f>'По терминалам'!Q246</f>
        <v>0</v>
      </c>
      <c r="Y62" s="173" t="str">
        <f>D59</f>
        <v>БВС-1 Шкаф 39Р ДЗО 1к</v>
      </c>
    </row>
    <row r="63">
      <c r="B63" s="103">
        <v>53</v>
      </c>
      <c r="C63" s="315"/>
      <c r="D63" s="261" t="s">
        <v>164</v>
      </c>
      <c r="E63" s="65" t="str">
        <f>'По терминалам'!E39</f>
        <v>А432</v>
      </c>
      <c r="F63" s="339" t="s">
        <v>24</v>
      </c>
      <c r="G63" s="17" t="str">
        <f>'По терминалам'!G39</f>
        <v>X120</v>
      </c>
      <c r="H63" s="17">
        <f>'По терминалам'!H39</f>
        <v>0</v>
      </c>
      <c r="I63" s="17">
        <f>'По терминалам'!I39</f>
        <v>0</v>
      </c>
      <c r="J63" s="36" t="str">
        <f>'По терминалам'!J39</f>
        <v>X124</v>
      </c>
      <c r="K63" s="17">
        <f>'По терминалам'!K39</f>
        <v>0</v>
      </c>
      <c r="L63" s="17">
        <f>'По терминалам'!L39</f>
        <v>0</v>
      </c>
      <c r="M63" s="339" t="str">
        <f>'По терминалам'!M39</f>
        <v>SG4</v>
      </c>
      <c r="N63" s="17">
        <f>'По терминалам'!N39</f>
        <v>2</v>
      </c>
      <c r="O63" s="17">
        <f>'По терминалам'!O39</f>
        <v>4</v>
      </c>
      <c r="P63" s="45">
        <f>'По терминалам'!P39</f>
        <v>32</v>
      </c>
      <c r="Q63" s="67" t="str">
        <f>'По терминалам'!Q39</f>
        <v>163L</v>
      </c>
      <c r="Y63" s="173" t="str">
        <f>D63</f>
        <v>РЩГ-1 1НА04 защиты 1Т 1к</v>
      </c>
    </row>
    <row r="64">
      <c r="B64" s="103">
        <v>54</v>
      </c>
      <c r="C64" s="315"/>
      <c r="D64" s="326"/>
      <c r="E64" s="66" t="str">
        <f>'По терминалам'!E40</f>
        <v>В432</v>
      </c>
      <c r="F64" s="340"/>
      <c r="G64" s="12" t="str">
        <f>'По терминалам'!G40</f>
        <v>X121</v>
      </c>
      <c r="H64" s="12">
        <f>'По терминалам'!H40</f>
        <v>0</v>
      </c>
      <c r="I64" s="12">
        <f>'По терминалам'!I40</f>
        <v>0</v>
      </c>
      <c r="J64" s="37" t="str">
        <f>'По терминалам'!J40</f>
        <v>X125</v>
      </c>
      <c r="K64" s="12">
        <f>'По терминалам'!K40</f>
        <v>0</v>
      </c>
      <c r="L64" s="12">
        <f>'По терминалам'!L40</f>
        <v>0</v>
      </c>
      <c r="M64" s="340">
        <f>'По терминалам'!M40</f>
        <v>0</v>
      </c>
      <c r="N64" s="12">
        <f>'По терминалам'!N40</f>
        <v>6</v>
      </c>
      <c r="O64" s="12">
        <f>'По терминалам'!O40</f>
        <v>8</v>
      </c>
      <c r="P64" s="19">
        <f>'По терминалам'!P40</f>
        <v>33</v>
      </c>
      <c r="Q64" s="68" t="str">
        <f>'По терминалам'!Q40</f>
        <v>77C</v>
      </c>
      <c r="Y64" s="173" t="str">
        <f>D63</f>
        <v>РЩГ-1 1НА04 защиты 1Т 1к</v>
      </c>
    </row>
    <row r="65">
      <c r="B65" s="103">
        <v>55</v>
      </c>
      <c r="C65" s="315"/>
      <c r="D65" s="326"/>
      <c r="E65" s="12" t="str">
        <f>'По терминалам'!E41</f>
        <v>С432</v>
      </c>
      <c r="F65" s="340"/>
      <c r="G65" s="12" t="str">
        <f>'По терминалам'!G41</f>
        <v>X122</v>
      </c>
      <c r="H65" s="12">
        <f>'По терминалам'!H41</f>
        <v>0</v>
      </c>
      <c r="I65" s="12">
        <f>'По терминалам'!I41</f>
        <v>0</v>
      </c>
      <c r="J65" s="37" t="str">
        <f>'По терминалам'!J41</f>
        <v>X126</v>
      </c>
      <c r="K65" s="12">
        <f>'По терминалам'!K41</f>
        <v>0</v>
      </c>
      <c r="L65" s="12">
        <f>'По терминалам'!L41</f>
        <v>0</v>
      </c>
      <c r="M65" s="340">
        <f>'По терминалам'!M41</f>
        <v>0</v>
      </c>
      <c r="N65" s="12">
        <f>'По терминалам'!N41</f>
        <v>10</v>
      </c>
      <c r="O65" s="12">
        <f>'По терминалам'!O41</f>
        <v>12</v>
      </c>
      <c r="P65" s="19">
        <f>'По терминалам'!P41</f>
        <v>33</v>
      </c>
      <c r="Q65" s="68" t="str">
        <f>'По терминалам'!Q41</f>
        <v>45L</v>
      </c>
      <c r="Y65" s="173" t="str">
        <f>D63</f>
        <v>РЩГ-1 1НА04 защиты 1Т 1к</v>
      </c>
    </row>
    <row r="66">
      <c r="B66" s="103">
        <v>56</v>
      </c>
      <c r="C66" s="316"/>
      <c r="D66" s="262"/>
      <c r="E66" s="13" t="str">
        <f>'По терминалам'!E42</f>
        <v>N431</v>
      </c>
      <c r="F66" s="342"/>
      <c r="G66" s="13" t="str">
        <f>'По терминалам'!G42</f>
        <v>X123</v>
      </c>
      <c r="H66" s="13">
        <f>'По терминалам'!H42</f>
        <v>0</v>
      </c>
      <c r="I66" s="13">
        <f>'По терминалам'!I42</f>
        <v>0</v>
      </c>
      <c r="J66" s="62" t="str">
        <f>'По терминалам'!J42</f>
        <v>X126</v>
      </c>
      <c r="K66" s="13">
        <f>'По терминалам'!K42</f>
        <v>0</v>
      </c>
      <c r="L66" s="13">
        <f>'По терминалам'!L42</f>
        <v>0</v>
      </c>
      <c r="M66" s="357" t="str">
        <f>'По терминалам'!M42</f>
        <v>-</v>
      </c>
      <c r="N66" s="357">
        <f>'По терминалам'!N42</f>
        <v>0</v>
      </c>
      <c r="O66" s="357">
        <f>'По терминалам'!O42</f>
        <v>0</v>
      </c>
      <c r="P66" s="357">
        <f>'По терминалам'!P42</f>
        <v>0</v>
      </c>
      <c r="Q66" s="358">
        <f>'По терминалам'!Q42</f>
        <v>0</v>
      </c>
      <c r="Y66" s="173" t="str">
        <f>D63</f>
        <v>РЩГ-1 1НА04 защиты 1Т 1к</v>
      </c>
    </row>
    <row r="67" ht="28.5">
      <c r="B67" s="103">
        <v>57</v>
      </c>
      <c r="C67" s="292" t="s">
        <v>141</v>
      </c>
      <c r="D67" s="286" t="s">
        <v>310</v>
      </c>
      <c r="E67" s="73" t="str">
        <f>'По терминалам'!E145</f>
        <v>А441</v>
      </c>
      <c r="F67" s="348" t="s">
        <v>114</v>
      </c>
      <c r="G67" s="268" t="str">
        <f>'По терминалам'!G145</f>
        <v>-</v>
      </c>
      <c r="H67" s="269">
        <f>'По терминалам'!H145</f>
        <v>0</v>
      </c>
      <c r="I67" s="292">
        <f>'По терминалам'!I145</f>
        <v>0</v>
      </c>
      <c r="J67" s="73">
        <f>'По терминалам'!J145</f>
        <v>9</v>
      </c>
      <c r="K67" s="73">
        <f>'По терминалам'!K145</f>
        <v>14</v>
      </c>
      <c r="L67" s="73" t="str">
        <f>'По терминалам'!L145</f>
        <v>163L</v>
      </c>
      <c r="M67" s="348" t="str">
        <f>'По терминалам'!M145</f>
        <v>Нет БИ</v>
      </c>
      <c r="N67" s="348">
        <f>'По терминалам'!N145</f>
        <v>0</v>
      </c>
      <c r="O67" s="348">
        <f>'По терминалам'!O145</f>
        <v>0</v>
      </c>
      <c r="P67" s="348">
        <f>'По терминалам'!P145</f>
        <v>0</v>
      </c>
      <c r="Q67" s="351">
        <f>'По терминалам'!Q145</f>
        <v>0</v>
      </c>
      <c r="S67" s="4" t="s">
        <v>397</v>
      </c>
      <c r="T67" s="5" t="s">
        <v>398</v>
      </c>
      <c r="U67" s="5" t="s">
        <v>399</v>
      </c>
      <c r="V67" s="5" t="s">
        <v>400</v>
      </c>
      <c r="W67" s="6" t="s">
        <v>401</v>
      </c>
      <c r="Y67" s="173" t="str">
        <f>D67</f>
        <v>ЭГРУ ШТН</v>
      </c>
    </row>
    <row r="68">
      <c r="B68" s="103">
        <v>58</v>
      </c>
      <c r="C68" s="293"/>
      <c r="D68" s="287"/>
      <c r="E68" s="74" t="str">
        <f>'По терминалам'!E146</f>
        <v>В441</v>
      </c>
      <c r="F68" s="349"/>
      <c r="G68" s="271">
        <f>'По терминалам'!G146</f>
        <v>0</v>
      </c>
      <c r="H68" s="272">
        <f>'По терминалам'!H146</f>
        <v>0</v>
      </c>
      <c r="I68" s="293">
        <f>'По терминалам'!I146</f>
        <v>0</v>
      </c>
      <c r="J68" s="74">
        <f>'По терминалам'!J146</f>
        <v>10</v>
      </c>
      <c r="K68" s="74">
        <f>'По терминалам'!K146</f>
        <v>15</v>
      </c>
      <c r="L68" s="74" t="str">
        <f>'По терминалам'!L146</f>
        <v>79C</v>
      </c>
      <c r="M68" s="349">
        <f>'По терминалам'!M146</f>
        <v>0</v>
      </c>
      <c r="N68" s="349">
        <f>'По терминалам'!N146</f>
        <v>0</v>
      </c>
      <c r="O68" s="349">
        <f>'По терминалам'!O146</f>
        <v>0</v>
      </c>
      <c r="P68" s="349">
        <f>'По терминалам'!P146</f>
        <v>0</v>
      </c>
      <c r="Q68" s="352">
        <f>'По терминалам'!Q146</f>
        <v>0</v>
      </c>
      <c r="S68" s="8" t="s">
        <v>407</v>
      </c>
      <c r="T68" s="9"/>
      <c r="U68" s="9"/>
      <c r="V68" s="9"/>
      <c r="W68" s="10"/>
      <c r="Y68" s="173" t="str">
        <f>D67</f>
        <v>ЭГРУ ШТН</v>
      </c>
    </row>
    <row r="69">
      <c r="B69" s="103">
        <v>59</v>
      </c>
      <c r="C69" s="293"/>
      <c r="D69" s="287"/>
      <c r="E69" s="74" t="str">
        <f>'По терминалам'!E147</f>
        <v>С441</v>
      </c>
      <c r="F69" s="349"/>
      <c r="G69" s="271">
        <f>'По терминалам'!G147</f>
        <v>0</v>
      </c>
      <c r="H69" s="272">
        <f>'По терминалам'!H147</f>
        <v>0</v>
      </c>
      <c r="I69" s="293">
        <f>'По терминалам'!I147</f>
        <v>0</v>
      </c>
      <c r="J69" s="74">
        <f>'По терминалам'!J147</f>
        <v>11</v>
      </c>
      <c r="K69" s="74">
        <f>'По терминалам'!K147</f>
        <v>14</v>
      </c>
      <c r="L69" s="74" t="str">
        <f>'По терминалам'!L147</f>
        <v>45L</v>
      </c>
      <c r="M69" s="349">
        <f>'По терминалам'!M147</f>
        <v>0</v>
      </c>
      <c r="N69" s="349">
        <f>'По терминалам'!N147</f>
        <v>0</v>
      </c>
      <c r="O69" s="349">
        <f>'По терминалам'!O147</f>
        <v>0</v>
      </c>
      <c r="P69" s="349">
        <f>'По терминалам'!P147</f>
        <v>0</v>
      </c>
      <c r="Q69" s="352">
        <f>'По терминалам'!Q147</f>
        <v>0</v>
      </c>
      <c r="Y69" s="173" t="str">
        <f>D67</f>
        <v>ЭГРУ ШТН</v>
      </c>
    </row>
    <row r="70">
      <c r="B70" s="103">
        <v>60</v>
      </c>
      <c r="C70" s="293"/>
      <c r="D70" s="288"/>
      <c r="E70" s="75" t="str">
        <f>'По терминалам'!E148</f>
        <v>N441</v>
      </c>
      <c r="F70" s="350"/>
      <c r="G70" s="274">
        <f>'По терминалам'!G148</f>
        <v>0</v>
      </c>
      <c r="H70" s="275">
        <f>'По терминалам'!H148</f>
        <v>0</v>
      </c>
      <c r="I70" s="294">
        <f>'По терминалам'!I148</f>
        <v>0</v>
      </c>
      <c r="J70" s="75">
        <f>'По терминалам'!J148</f>
        <v>12</v>
      </c>
      <c r="K70" s="75">
        <f>'По терминалам'!K148</f>
        <v>0</v>
      </c>
      <c r="L70" s="75">
        <f>'По терминалам'!L148</f>
        <v>0</v>
      </c>
      <c r="M70" s="350">
        <f>'По терминалам'!M148</f>
        <v>0</v>
      </c>
      <c r="N70" s="350">
        <f>'По терминалам'!N148</f>
        <v>0</v>
      </c>
      <c r="O70" s="350">
        <f>'По терминалам'!O148</f>
        <v>0</v>
      </c>
      <c r="P70" s="350">
        <f>'По терминалам'!P148</f>
        <v>0</v>
      </c>
      <c r="Q70" s="353">
        <f>'По терминалам'!Q148</f>
        <v>0</v>
      </c>
      <c r="Y70" s="173" t="str">
        <f>D67</f>
        <v>ЭГРУ ШТН</v>
      </c>
    </row>
    <row r="71">
      <c r="B71" s="103">
        <v>61</v>
      </c>
      <c r="C71" s="293"/>
      <c r="D71" s="286" t="s">
        <v>142</v>
      </c>
      <c r="E71" s="73" t="str">
        <f>'По терминалам'!E25</f>
        <v>А441</v>
      </c>
      <c r="F71" s="348" t="s">
        <v>114</v>
      </c>
      <c r="G71" s="73">
        <f>'По терминалам'!G25</f>
        <v>120</v>
      </c>
      <c r="H71" s="73">
        <f>'По терминалам'!H25</f>
        <v>15</v>
      </c>
      <c r="I71" s="73" t="str">
        <f>'По терминалам'!I25</f>
        <v>175L</v>
      </c>
      <c r="J71" s="73">
        <f>'По терминалам'!J25</f>
        <v>124</v>
      </c>
      <c r="K71" s="73">
        <f>'По терминалам'!K25</f>
        <v>0</v>
      </c>
      <c r="L71" s="73" t="str">
        <f>'По терминалам'!L25</f>
        <v>-</v>
      </c>
      <c r="M71" s="348" t="str">
        <f>'По терминалам'!M25</f>
        <v>SG3</v>
      </c>
      <c r="N71" s="73">
        <f>'По терминалам'!N25</f>
        <v>2</v>
      </c>
      <c r="O71" s="73">
        <f>'По терминалам'!O25</f>
        <v>4</v>
      </c>
      <c r="P71" s="73">
        <f>'По терминалам'!P25</f>
        <v>15</v>
      </c>
      <c r="Q71" s="76" t="str">
        <f>'По терминалам'!Q25</f>
        <v>175L</v>
      </c>
      <c r="Y71" s="173" t="str">
        <f>D71</f>
        <v>РЩГ-1 1НА02 защиты 1Г 2к</v>
      </c>
    </row>
    <row r="72">
      <c r="B72" s="103">
        <v>62</v>
      </c>
      <c r="C72" s="293"/>
      <c r="D72" s="287"/>
      <c r="E72" s="74" t="str">
        <f>'По терминалам'!E26</f>
        <v>В441</v>
      </c>
      <c r="F72" s="349"/>
      <c r="G72" s="74">
        <f>'По терминалам'!G26</f>
        <v>121</v>
      </c>
      <c r="H72" s="74">
        <f>'По терминалам'!H26</f>
        <v>18</v>
      </c>
      <c r="I72" s="74" t="str">
        <f>'По терминалам'!I26</f>
        <v>77C</v>
      </c>
      <c r="J72" s="74">
        <f>'По терминалам'!J26</f>
        <v>125</v>
      </c>
      <c r="K72" s="74">
        <f>'По терминалам'!K26</f>
        <v>0</v>
      </c>
      <c r="L72" s="74" t="str">
        <f>'По терминалам'!L26</f>
        <v>-</v>
      </c>
      <c r="M72" s="349">
        <f>'По терминалам'!M26</f>
        <v>0</v>
      </c>
      <c r="N72" s="74">
        <f>'По терминалам'!N26</f>
        <v>6</v>
      </c>
      <c r="O72" s="74">
        <f>'По терминалам'!O26</f>
        <v>8</v>
      </c>
      <c r="P72" s="74">
        <f>'По терминалам'!P26</f>
        <v>18</v>
      </c>
      <c r="Q72" s="77" t="str">
        <f>'По терминалам'!Q26</f>
        <v>77C</v>
      </c>
      <c r="Y72" s="173" t="str">
        <f>D71</f>
        <v>РЩГ-1 1НА02 защиты 1Г 2к</v>
      </c>
    </row>
    <row r="73">
      <c r="B73" s="103">
        <v>63</v>
      </c>
      <c r="C73" s="293"/>
      <c r="D73" s="287"/>
      <c r="E73" s="74" t="str">
        <f>'По терминалам'!E27</f>
        <v>С441</v>
      </c>
      <c r="F73" s="349"/>
      <c r="G73" s="74">
        <f>'По терминалам'!G27</f>
        <v>122</v>
      </c>
      <c r="H73" s="74">
        <f>'По терминалам'!H27</f>
        <v>15</v>
      </c>
      <c r="I73" s="74" t="str">
        <f>'По терминалам'!I27</f>
        <v>42L</v>
      </c>
      <c r="J73" s="74">
        <f>'По терминалам'!J27</f>
        <v>126</v>
      </c>
      <c r="K73" s="74">
        <f>'По терминалам'!K27</f>
        <v>0</v>
      </c>
      <c r="L73" s="74" t="str">
        <f>'По терминалам'!L27</f>
        <v>-</v>
      </c>
      <c r="M73" s="349">
        <f>'По терминалам'!M27</f>
        <v>0</v>
      </c>
      <c r="N73" s="74">
        <f>'По терминалам'!N27</f>
        <v>10</v>
      </c>
      <c r="O73" s="74">
        <f>'По терминалам'!O27</f>
        <v>12</v>
      </c>
      <c r="P73" s="74">
        <f>'По терминалам'!P27</f>
        <v>15</v>
      </c>
      <c r="Q73" s="77" t="str">
        <f>'По терминалам'!Q27</f>
        <v>42L</v>
      </c>
      <c r="Y73" s="173" t="str">
        <f>D71</f>
        <v>РЩГ-1 1НА02 защиты 1Г 2к</v>
      </c>
    </row>
    <row r="74">
      <c r="B74" s="103">
        <v>64</v>
      </c>
      <c r="C74" s="294"/>
      <c r="D74" s="288"/>
      <c r="E74" s="75" t="str">
        <f>'По терминалам'!E28</f>
        <v>N441</v>
      </c>
      <c r="F74" s="350"/>
      <c r="G74" s="75">
        <f>'По терминалам'!G28</f>
        <v>123</v>
      </c>
      <c r="H74" s="75">
        <f>'По терминалам'!H28</f>
        <v>2</v>
      </c>
      <c r="I74" s="75" t="str">
        <f>'По терминалам'!I28</f>
        <v>-</v>
      </c>
      <c r="J74" s="75">
        <f>'По терминалам'!J28</f>
        <v>127</v>
      </c>
      <c r="K74" s="75">
        <f>'По терминалам'!K28</f>
        <v>0</v>
      </c>
      <c r="L74" s="75" t="str">
        <f>'По терминалам'!L28</f>
        <v>-</v>
      </c>
      <c r="M74" s="350" t="str">
        <f>'По терминалам'!M28</f>
        <v>-</v>
      </c>
      <c r="N74" s="350">
        <f>'По терминалам'!N28</f>
        <v>0</v>
      </c>
      <c r="O74" s="350">
        <f>'По терминалам'!O28</f>
        <v>0</v>
      </c>
      <c r="P74" s="350">
        <f>'По терминалам'!P28</f>
        <v>0</v>
      </c>
      <c r="Q74" s="353">
        <f>'По терминалам'!Q28</f>
        <v>0</v>
      </c>
      <c r="Y74" s="173" t="str">
        <f>D71</f>
        <v>РЩГ-1 1НА02 защиты 1Г 2к</v>
      </c>
    </row>
    <row r="75" ht="28.5">
      <c r="B75" s="103">
        <v>65</v>
      </c>
      <c r="C75" s="314" t="s">
        <v>291</v>
      </c>
      <c r="D75" s="261" t="s">
        <v>310</v>
      </c>
      <c r="E75" s="65" t="str">
        <f>'По терминалам'!E149</f>
        <v>А451</v>
      </c>
      <c r="F75" s="303" t="s">
        <v>114</v>
      </c>
      <c r="G75" s="305" t="str">
        <f>'По терминалам'!G149</f>
        <v>-</v>
      </c>
      <c r="H75" s="306">
        <f>'По терминалам'!H149</f>
        <v>0</v>
      </c>
      <c r="I75" s="314">
        <f>'По терминалам'!I149</f>
        <v>0</v>
      </c>
      <c r="J75" s="65">
        <f>'По терминалам'!J149</f>
        <v>17</v>
      </c>
      <c r="K75" s="65">
        <f>'По терминалам'!K149</f>
        <v>14</v>
      </c>
      <c r="L75" s="81" t="str">
        <f>'По терминалам'!L149</f>
        <v>163L</v>
      </c>
      <c r="M75" s="339" t="str">
        <f>'По терминалам'!M149</f>
        <v>Нет БИ</v>
      </c>
      <c r="N75" s="339">
        <f>'По терминалам'!N149</f>
        <v>0</v>
      </c>
      <c r="O75" s="339">
        <f>'По терминалам'!O149</f>
        <v>0</v>
      </c>
      <c r="P75" s="339">
        <f>'По терминалам'!P149</f>
        <v>0</v>
      </c>
      <c r="Q75" s="344">
        <f>'По терминалам'!Q149</f>
        <v>0</v>
      </c>
      <c r="S75" s="4" t="s">
        <v>397</v>
      </c>
      <c r="T75" s="5" t="s">
        <v>398</v>
      </c>
      <c r="U75" s="5" t="s">
        <v>399</v>
      </c>
      <c r="V75" s="5" t="s">
        <v>400</v>
      </c>
      <c r="W75" s="6" t="s">
        <v>401</v>
      </c>
      <c r="Y75" s="173" t="str">
        <f>D75</f>
        <v>ЭГРУ ШТН</v>
      </c>
    </row>
    <row r="76">
      <c r="B76" s="103">
        <v>66</v>
      </c>
      <c r="C76" s="315"/>
      <c r="D76" s="326"/>
      <c r="E76" s="66" t="str">
        <f>'По терминалам'!E150</f>
        <v>В451</v>
      </c>
      <c r="F76" s="317"/>
      <c r="G76" s="308">
        <f>'По терминалам'!G150</f>
        <v>0</v>
      </c>
      <c r="H76" s="309">
        <f>'По терминалам'!H150</f>
        <v>0</v>
      </c>
      <c r="I76" s="315">
        <f>'По терминалам'!I150</f>
        <v>0</v>
      </c>
      <c r="J76" s="66">
        <f>'По терминалам'!J150</f>
        <v>18</v>
      </c>
      <c r="K76" s="66">
        <f>'По терминалам'!K150</f>
        <v>14</v>
      </c>
      <c r="L76" s="82" t="str">
        <f>'По терминалам'!L150</f>
        <v>79C</v>
      </c>
      <c r="M76" s="340">
        <f>'По терминалам'!M150</f>
        <v>0</v>
      </c>
      <c r="N76" s="340">
        <f>'По терминалам'!N150</f>
        <v>0</v>
      </c>
      <c r="O76" s="340">
        <f>'По терминалам'!O150</f>
        <v>0</v>
      </c>
      <c r="P76" s="340">
        <f>'По терминалам'!P150</f>
        <v>0</v>
      </c>
      <c r="Q76" s="345">
        <f>'По терминалам'!Q150</f>
        <v>0</v>
      </c>
      <c r="S76" s="8" t="s">
        <v>408</v>
      </c>
      <c r="T76" s="9"/>
      <c r="U76" s="9"/>
      <c r="V76" s="9"/>
      <c r="W76" s="10"/>
      <c r="Y76" s="173" t="str">
        <f>D75</f>
        <v>ЭГРУ ШТН</v>
      </c>
    </row>
    <row r="77">
      <c r="B77" s="103">
        <v>67</v>
      </c>
      <c r="C77" s="315"/>
      <c r="D77" s="326"/>
      <c r="E77" s="12" t="str">
        <f>'По терминалам'!E151</f>
        <v>С451</v>
      </c>
      <c r="F77" s="317"/>
      <c r="G77" s="308">
        <f>'По терминалам'!G151</f>
        <v>0</v>
      </c>
      <c r="H77" s="309">
        <f>'По терминалам'!H151</f>
        <v>0</v>
      </c>
      <c r="I77" s="315">
        <f>'По терминалам'!I151</f>
        <v>0</v>
      </c>
      <c r="J77" s="66">
        <f>'По терминалам'!J151</f>
        <v>19</v>
      </c>
      <c r="K77" s="66">
        <f>'По терминалам'!K151</f>
        <v>14</v>
      </c>
      <c r="L77" s="82" t="str">
        <f>'По терминалам'!L151</f>
        <v>45L</v>
      </c>
      <c r="M77" s="340">
        <f>'По терминалам'!M151</f>
        <v>0</v>
      </c>
      <c r="N77" s="340">
        <f>'По терминалам'!N151</f>
        <v>0</v>
      </c>
      <c r="O77" s="340">
        <f>'По терминалам'!O151</f>
        <v>0</v>
      </c>
      <c r="P77" s="340">
        <f>'По терминалам'!P151</f>
        <v>0</v>
      </c>
      <c r="Q77" s="345">
        <f>'По терминалам'!Q151</f>
        <v>0</v>
      </c>
      <c r="Y77" s="173" t="str">
        <f>D75</f>
        <v>ЭГРУ ШТН</v>
      </c>
    </row>
    <row r="78">
      <c r="B78" s="103">
        <v>68</v>
      </c>
      <c r="C78" s="315"/>
      <c r="D78" s="262"/>
      <c r="E78" s="13" t="str">
        <f>'По терминалам'!E152</f>
        <v>N451</v>
      </c>
      <c r="F78" s="304"/>
      <c r="G78" s="311">
        <f>'По терминалам'!G152</f>
        <v>0</v>
      </c>
      <c r="H78" s="312">
        <f>'По терминалам'!H152</f>
        <v>0</v>
      </c>
      <c r="I78" s="316">
        <f>'По терминалам'!I152</f>
        <v>0</v>
      </c>
      <c r="J78" s="63">
        <f>'По терминалам'!J152</f>
        <v>20</v>
      </c>
      <c r="K78" s="63">
        <f>'По терминалам'!K152</f>
        <v>0</v>
      </c>
      <c r="L78" s="61">
        <f>'По терминалам'!L152</f>
        <v>0</v>
      </c>
      <c r="M78" s="342">
        <f>'По терминалам'!M152</f>
        <v>0</v>
      </c>
      <c r="N78" s="342">
        <f>'По терминалам'!N152</f>
        <v>0</v>
      </c>
      <c r="O78" s="342">
        <f>'По терминалам'!O152</f>
        <v>0</v>
      </c>
      <c r="P78" s="342">
        <f>'По терминалам'!P152</f>
        <v>0</v>
      </c>
      <c r="Q78" s="347">
        <f>'По терминалам'!Q152</f>
        <v>0</v>
      </c>
      <c r="R78" s="16"/>
      <c r="S78" s="16"/>
      <c r="Y78" s="173" t="str">
        <f>D75</f>
        <v>ЭГРУ ШТН</v>
      </c>
    </row>
    <row r="79">
      <c r="B79" s="103">
        <v>69</v>
      </c>
      <c r="C79" s="315"/>
      <c r="D79" s="261" t="s">
        <v>292</v>
      </c>
      <c r="E79" s="65" t="str">
        <f>'По терминалам'!E129</f>
        <v>А451</v>
      </c>
      <c r="F79" s="303" t="s">
        <v>294</v>
      </c>
      <c r="G79" s="17">
        <f>'По терминалам'!G129</f>
        <v>0</v>
      </c>
      <c r="H79" s="17">
        <f>'По терминалам'!H129</f>
        <v>0</v>
      </c>
      <c r="I79" s="65">
        <f>'По терминалам'!I129</f>
        <v>0</v>
      </c>
      <c r="J79" s="17">
        <f>'По терминалам'!J129</f>
        <v>0</v>
      </c>
      <c r="K79" s="17">
        <f>'По терминалам'!K129</f>
        <v>0</v>
      </c>
      <c r="L79" s="81">
        <f>'По терминалам'!L129</f>
        <v>0</v>
      </c>
      <c r="M79" s="339">
        <f>'По терминалам'!M129</f>
        <v>0</v>
      </c>
      <c r="N79" s="339">
        <f>'По терминалам'!N129</f>
        <v>2</v>
      </c>
      <c r="O79" s="339">
        <f>'По терминалам'!O129</f>
        <v>4</v>
      </c>
      <c r="P79" s="339">
        <f>'По терминалам'!P129</f>
        <v>11</v>
      </c>
      <c r="Q79" s="344" t="str">
        <f>'По терминалам'!Q129</f>
        <v>162L</v>
      </c>
      <c r="Y79" s="173" t="str">
        <f>D79</f>
        <v>Помещение возбуждения. Шкаф защит 1к</v>
      </c>
    </row>
    <row r="80">
      <c r="B80" s="103">
        <v>70</v>
      </c>
      <c r="C80" s="315"/>
      <c r="D80" s="326"/>
      <c r="E80" s="66" t="str">
        <f>'По терминалам'!E130</f>
        <v>В451</v>
      </c>
      <c r="F80" s="317"/>
      <c r="G80" s="12">
        <f>'По терминалам'!G130</f>
        <v>0</v>
      </c>
      <c r="H80" s="12">
        <f>'По терминалам'!H130</f>
        <v>0</v>
      </c>
      <c r="I80" s="66">
        <f>'По терминалам'!I130</f>
        <v>0</v>
      </c>
      <c r="J80" s="12">
        <f>'По терминалам'!J130</f>
        <v>0</v>
      </c>
      <c r="K80" s="12">
        <f>'По терминалам'!K130</f>
        <v>0</v>
      </c>
      <c r="L80" s="82">
        <f>'По терминалам'!L130</f>
        <v>0</v>
      </c>
      <c r="M80" s="340">
        <f>'По терминалам'!M130</f>
        <v>0</v>
      </c>
      <c r="N80" s="340">
        <f>'По терминалам'!N130</f>
        <v>6</v>
      </c>
      <c r="O80" s="340">
        <f>'По терминалам'!O130</f>
        <v>8</v>
      </c>
      <c r="P80" s="340">
        <f>'По терминалам'!P130</f>
        <v>12</v>
      </c>
      <c r="Q80" s="345" t="str">
        <f>'По терминалам'!Q130</f>
        <v>77C</v>
      </c>
      <c r="Y80" s="173" t="str">
        <f>D79</f>
        <v>Помещение возбуждения. Шкаф защит 1к</v>
      </c>
    </row>
    <row r="81">
      <c r="B81" s="103">
        <v>71</v>
      </c>
      <c r="C81" s="315"/>
      <c r="D81" s="326"/>
      <c r="E81" s="12" t="str">
        <f>'По терминалам'!E131</f>
        <v>С451</v>
      </c>
      <c r="F81" s="317"/>
      <c r="G81" s="12">
        <f>'По терминалам'!G131</f>
        <v>0</v>
      </c>
      <c r="H81" s="12">
        <f>'По терминалам'!H131</f>
        <v>0</v>
      </c>
      <c r="I81" s="66">
        <f>'По терминалам'!I131</f>
        <v>0</v>
      </c>
      <c r="J81" s="12">
        <f>'По терминалам'!J131</f>
        <v>0</v>
      </c>
      <c r="K81" s="12">
        <f>'По терминалам'!K131</f>
        <v>0</v>
      </c>
      <c r="L81" s="82">
        <f>'По терминалам'!L131</f>
        <v>0</v>
      </c>
      <c r="M81" s="340">
        <f>'По терминалам'!M131</f>
        <v>0</v>
      </c>
      <c r="N81" s="340">
        <f>'По терминалам'!N131</f>
        <v>10</v>
      </c>
      <c r="O81" s="340">
        <f>'По терминалам'!O131</f>
        <v>12</v>
      </c>
      <c r="P81" s="340">
        <f>'По терминалам'!P131</f>
        <v>12</v>
      </c>
      <c r="Q81" s="345" t="str">
        <f>'По терминалам'!Q131</f>
        <v>45L</v>
      </c>
      <c r="Y81" s="173" t="str">
        <f>D79</f>
        <v>Помещение возбуждения. Шкаф защит 1к</v>
      </c>
    </row>
    <row r="82">
      <c r="B82" s="103">
        <v>72</v>
      </c>
      <c r="C82" s="316"/>
      <c r="D82" s="262"/>
      <c r="E82" s="13" t="str">
        <f>'По терминалам'!E132</f>
        <v>N451</v>
      </c>
      <c r="F82" s="304"/>
      <c r="G82" s="13">
        <f>'По терминалам'!G132</f>
        <v>0</v>
      </c>
      <c r="H82" s="13">
        <f>'По терминалам'!H132</f>
        <v>0</v>
      </c>
      <c r="I82" s="63">
        <f>'По терминалам'!I132</f>
        <v>0</v>
      </c>
      <c r="J82" s="63">
        <f>'По терминалам'!J132</f>
        <v>0</v>
      </c>
      <c r="K82" s="63">
        <f>'По терминалам'!K132</f>
        <v>0</v>
      </c>
      <c r="L82" s="61">
        <f>'По терминалам'!L132</f>
        <v>0</v>
      </c>
      <c r="M82" s="342">
        <f>'По терминалам'!M132</f>
        <v>0</v>
      </c>
      <c r="N82" s="342" t="str">
        <f>'По терминалам'!N132</f>
        <v>-</v>
      </c>
      <c r="O82" s="342">
        <f>'По терминалам'!O132</f>
        <v>0</v>
      </c>
      <c r="P82" s="342">
        <f>'По терминалам'!P132</f>
        <v>0</v>
      </c>
      <c r="Q82" s="347">
        <f>'По терминалам'!Q132</f>
        <v>0</v>
      </c>
      <c r="Y82" s="173" t="str">
        <f>D79</f>
        <v>Помещение возбуждения. Шкаф защит 1к</v>
      </c>
    </row>
    <row r="83" ht="28.5">
      <c r="B83" s="103">
        <v>73</v>
      </c>
      <c r="C83" s="292" t="s">
        <v>298</v>
      </c>
      <c r="D83" s="286" t="s">
        <v>310</v>
      </c>
      <c r="E83" s="73" t="str">
        <f>'По терминалам'!E153</f>
        <v>А461</v>
      </c>
      <c r="F83" s="265" t="s">
        <v>114</v>
      </c>
      <c r="G83" s="268" t="str">
        <f>'По терминалам'!G153</f>
        <v>-</v>
      </c>
      <c r="H83" s="269">
        <f>'По терминалам'!H153</f>
        <v>0</v>
      </c>
      <c r="I83" s="292">
        <f>'По терминалам'!I153</f>
        <v>0</v>
      </c>
      <c r="J83" s="73">
        <f>'По терминалам'!J153</f>
        <v>25</v>
      </c>
      <c r="K83" s="73">
        <f>'По терминалам'!K153</f>
        <v>14</v>
      </c>
      <c r="L83" s="85" t="str">
        <f>'По терминалам'!L153</f>
        <v>163L</v>
      </c>
      <c r="M83" s="268" t="str">
        <f>'По терминалам'!M153</f>
        <v>Нет БИ</v>
      </c>
      <c r="N83" s="269">
        <f>'По терминалам'!N153</f>
        <v>0</v>
      </c>
      <c r="O83" s="269">
        <f>'По терминалам'!O153</f>
        <v>0</v>
      </c>
      <c r="P83" s="269">
        <f>'По терминалам'!P153</f>
        <v>0</v>
      </c>
      <c r="Q83" s="270">
        <f>'По терминалам'!Q153</f>
        <v>0</v>
      </c>
      <c r="S83" s="4" t="s">
        <v>397</v>
      </c>
      <c r="T83" s="5" t="s">
        <v>398</v>
      </c>
      <c r="U83" s="5" t="s">
        <v>399</v>
      </c>
      <c r="V83" s="5" t="s">
        <v>400</v>
      </c>
      <c r="W83" s="6" t="s">
        <v>401</v>
      </c>
      <c r="Y83" s="173" t="str">
        <f>D83</f>
        <v>ЭГРУ ШТН</v>
      </c>
    </row>
    <row r="84">
      <c r="B84" s="103">
        <v>74</v>
      </c>
      <c r="C84" s="293"/>
      <c r="D84" s="287"/>
      <c r="E84" s="74" t="str">
        <f>'По терминалам'!E154</f>
        <v>В461</v>
      </c>
      <c r="F84" s="266"/>
      <c r="G84" s="271">
        <f>'По терминалам'!G154</f>
        <v>0</v>
      </c>
      <c r="H84" s="272">
        <f>'По терминалам'!H154</f>
        <v>0</v>
      </c>
      <c r="I84" s="293">
        <f>'По терминалам'!I154</f>
        <v>0</v>
      </c>
      <c r="J84" s="74">
        <f>'По терминалам'!J154</f>
        <v>26</v>
      </c>
      <c r="K84" s="74">
        <f>'По терминалам'!K154</f>
        <v>14</v>
      </c>
      <c r="L84" s="86" t="str">
        <f>'По терминалам'!L154</f>
        <v>78C</v>
      </c>
      <c r="M84" s="271">
        <f>'По терминалам'!M154</f>
        <v>0</v>
      </c>
      <c r="N84" s="272">
        <f>'По терминалам'!N154</f>
        <v>0</v>
      </c>
      <c r="O84" s="272">
        <f>'По терминалам'!O154</f>
        <v>0</v>
      </c>
      <c r="P84" s="272">
        <f>'По терминалам'!P154</f>
        <v>0</v>
      </c>
      <c r="Q84" s="273">
        <f>'По терминалам'!Q154</f>
        <v>0</v>
      </c>
      <c r="S84" s="8" t="s">
        <v>409</v>
      </c>
      <c r="T84" s="9"/>
      <c r="U84" s="9"/>
      <c r="V84" s="9"/>
      <c r="W84" s="10"/>
      <c r="Y84" s="173" t="str">
        <f>D83</f>
        <v>ЭГРУ ШТН</v>
      </c>
    </row>
    <row r="85">
      <c r="B85" s="103">
        <v>75</v>
      </c>
      <c r="C85" s="293"/>
      <c r="D85" s="287"/>
      <c r="E85" s="74" t="str">
        <f>'По терминалам'!E155</f>
        <v>С461</v>
      </c>
      <c r="F85" s="266"/>
      <c r="G85" s="271">
        <f>'По терминалам'!G155</f>
        <v>0</v>
      </c>
      <c r="H85" s="272">
        <f>'По терминалам'!H155</f>
        <v>0</v>
      </c>
      <c r="I85" s="293">
        <f>'По терминалам'!I155</f>
        <v>0</v>
      </c>
      <c r="J85" s="74">
        <f>'По терминалам'!J155</f>
        <v>27</v>
      </c>
      <c r="K85" s="74">
        <f>'По терминалам'!K155</f>
        <v>14</v>
      </c>
      <c r="L85" s="86" t="str">
        <f>'По терминалам'!L155</f>
        <v>45L</v>
      </c>
      <c r="M85" s="271">
        <f>'По терминалам'!M155</f>
        <v>0</v>
      </c>
      <c r="N85" s="272">
        <f>'По терминалам'!N155</f>
        <v>0</v>
      </c>
      <c r="O85" s="272">
        <f>'По терминалам'!O155</f>
        <v>0</v>
      </c>
      <c r="P85" s="272">
        <f>'По терминалам'!P155</f>
        <v>0</v>
      </c>
      <c r="Q85" s="273">
        <f>'По терминалам'!Q155</f>
        <v>0</v>
      </c>
      <c r="Y85" s="173" t="str">
        <f>D83</f>
        <v>ЭГРУ ШТН</v>
      </c>
    </row>
    <row r="86">
      <c r="B86" s="103">
        <v>76</v>
      </c>
      <c r="C86" s="293"/>
      <c r="D86" s="288"/>
      <c r="E86" s="75" t="str">
        <f>'По терминалам'!E156</f>
        <v>N461</v>
      </c>
      <c r="F86" s="267"/>
      <c r="G86" s="274">
        <f>'По терминалам'!G156</f>
        <v>0</v>
      </c>
      <c r="H86" s="275">
        <f>'По терминалам'!H156</f>
        <v>0</v>
      </c>
      <c r="I86" s="294">
        <f>'По терминалам'!I156</f>
        <v>0</v>
      </c>
      <c r="J86" s="75">
        <f>'По терминалам'!J156</f>
        <v>28</v>
      </c>
      <c r="K86" s="75">
        <f>'По терминалам'!K156</f>
        <v>0</v>
      </c>
      <c r="L86" s="87" t="str">
        <f>'По терминалам'!L156</f>
        <v>-</v>
      </c>
      <c r="M86" s="274">
        <f>'По терминалам'!M156</f>
        <v>0</v>
      </c>
      <c r="N86" s="275">
        <f>'По терминалам'!N156</f>
        <v>0</v>
      </c>
      <c r="O86" s="275">
        <f>'По терминалам'!O156</f>
        <v>0</v>
      </c>
      <c r="P86" s="275">
        <f>'По терминалам'!P156</f>
        <v>0</v>
      </c>
      <c r="Q86" s="276">
        <f>'По терминалам'!Q156</f>
        <v>0</v>
      </c>
      <c r="Y86" s="173" t="str">
        <f>D83</f>
        <v>ЭГРУ ШТН</v>
      </c>
    </row>
    <row r="87">
      <c r="B87" s="103">
        <v>77</v>
      </c>
      <c r="C87" s="293"/>
      <c r="D87" s="286" t="s">
        <v>299</v>
      </c>
      <c r="E87" s="73" t="str">
        <f>'По терминалам'!E133</f>
        <v>А461</v>
      </c>
      <c r="F87" s="265" t="s">
        <v>294</v>
      </c>
      <c r="G87" s="73">
        <f>'По терминалам'!G133</f>
        <v>0</v>
      </c>
      <c r="H87" s="73">
        <f>'По терминалам'!H133</f>
        <v>0</v>
      </c>
      <c r="I87" s="73">
        <f>'По терминалам'!I133</f>
        <v>0</v>
      </c>
      <c r="J87" s="73">
        <f>'По терминалам'!J133</f>
        <v>0</v>
      </c>
      <c r="K87" s="73">
        <f>'По терминалам'!K133</f>
        <v>0</v>
      </c>
      <c r="L87" s="85">
        <f>'По терминалам'!L133</f>
        <v>0</v>
      </c>
      <c r="M87" s="268">
        <f>'По терминалам'!M133</f>
        <v>0</v>
      </c>
      <c r="N87" s="269">
        <f>'По терминалам'!N133</f>
        <v>2</v>
      </c>
      <c r="O87" s="269">
        <f>'По терминалам'!O133</f>
        <v>4</v>
      </c>
      <c r="P87" s="269">
        <f>'По терминалам'!P133</f>
        <v>11</v>
      </c>
      <c r="Q87" s="270" t="str">
        <f>'По терминалам'!Q133</f>
        <v>165L</v>
      </c>
      <c r="Y87" s="173" t="str">
        <f>D87</f>
        <v>Помещение возбуждения. Шкаф защит 2к</v>
      </c>
    </row>
    <row r="88">
      <c r="B88" s="103">
        <v>78</v>
      </c>
      <c r="C88" s="293"/>
      <c r="D88" s="287"/>
      <c r="E88" s="74" t="str">
        <f>'По терминалам'!E134</f>
        <v>В461</v>
      </c>
      <c r="F88" s="266"/>
      <c r="G88" s="74">
        <f>'По терминалам'!G134</f>
        <v>0</v>
      </c>
      <c r="H88" s="74">
        <f>'По терминалам'!H134</f>
        <v>0</v>
      </c>
      <c r="I88" s="74">
        <f>'По терминалам'!I134</f>
        <v>0</v>
      </c>
      <c r="J88" s="74">
        <f>'По терминалам'!J134</f>
        <v>0</v>
      </c>
      <c r="K88" s="74">
        <f>'По терминалам'!K134</f>
        <v>0</v>
      </c>
      <c r="L88" s="86">
        <f>'По терминалам'!L134</f>
        <v>0</v>
      </c>
      <c r="M88" s="271">
        <f>'По терминалам'!M134</f>
        <v>0</v>
      </c>
      <c r="N88" s="272">
        <f>'По терминалам'!N134</f>
        <v>6</v>
      </c>
      <c r="O88" s="272">
        <f>'По терминалам'!O134</f>
        <v>8</v>
      </c>
      <c r="P88" s="272">
        <f>'По терминалам'!P134</f>
        <v>12</v>
      </c>
      <c r="Q88" s="273" t="str">
        <f>'По терминалам'!Q134</f>
        <v>77C</v>
      </c>
      <c r="Y88" s="173" t="str">
        <f>D87</f>
        <v>Помещение возбуждения. Шкаф защит 2к</v>
      </c>
    </row>
    <row r="89">
      <c r="B89" s="103">
        <v>79</v>
      </c>
      <c r="C89" s="293"/>
      <c r="D89" s="287"/>
      <c r="E89" s="74" t="str">
        <f>'По терминалам'!E135</f>
        <v>С461</v>
      </c>
      <c r="F89" s="266"/>
      <c r="G89" s="74">
        <f>'По терминалам'!G135</f>
        <v>0</v>
      </c>
      <c r="H89" s="74">
        <f>'По терминалам'!H135</f>
        <v>0</v>
      </c>
      <c r="I89" s="74">
        <f>'По терминалам'!I135</f>
        <v>0</v>
      </c>
      <c r="J89" s="74">
        <f>'По терминалам'!J135</f>
        <v>0</v>
      </c>
      <c r="K89" s="74">
        <f>'По терминалам'!K135</f>
        <v>0</v>
      </c>
      <c r="L89" s="86">
        <f>'По терминалам'!L135</f>
        <v>0</v>
      </c>
      <c r="M89" s="271">
        <f>'По терминалам'!M135</f>
        <v>0</v>
      </c>
      <c r="N89" s="272">
        <f>'По терминалам'!N135</f>
        <v>10</v>
      </c>
      <c r="O89" s="272">
        <f>'По терминалам'!O135</f>
        <v>12</v>
      </c>
      <c r="P89" s="272">
        <f>'По терминалам'!P135</f>
        <v>12</v>
      </c>
      <c r="Q89" s="273" t="str">
        <f>'По терминалам'!Q135</f>
        <v>40L</v>
      </c>
      <c r="Y89" s="173" t="str">
        <f>D87</f>
        <v>Помещение возбуждения. Шкаф защит 2к</v>
      </c>
    </row>
    <row r="90">
      <c r="B90" s="103">
        <v>80</v>
      </c>
      <c r="C90" s="294"/>
      <c r="D90" s="288"/>
      <c r="E90" s="75" t="str">
        <f>'По терминалам'!E136</f>
        <v>N461</v>
      </c>
      <c r="F90" s="267"/>
      <c r="G90" s="75">
        <f>'По терминалам'!G136</f>
        <v>0</v>
      </c>
      <c r="H90" s="75">
        <f>'По терминалам'!H136</f>
        <v>0</v>
      </c>
      <c r="I90" s="75">
        <f>'По терминалам'!I136</f>
        <v>0</v>
      </c>
      <c r="J90" s="75">
        <f>'По терминалам'!J136</f>
        <v>0</v>
      </c>
      <c r="K90" s="75">
        <f>'По терминалам'!K136</f>
        <v>0</v>
      </c>
      <c r="L90" s="87">
        <f>'По терминалам'!L136</f>
        <v>0</v>
      </c>
      <c r="M90" s="274">
        <f>'По терминалам'!M136</f>
        <v>0</v>
      </c>
      <c r="N90" s="275" t="str">
        <f>'По терминалам'!N136</f>
        <v>-</v>
      </c>
      <c r="O90" s="275">
        <f>'По терминалам'!O136</f>
        <v>0</v>
      </c>
      <c r="P90" s="275">
        <f>'По терминалам'!P136</f>
        <v>0</v>
      </c>
      <c r="Q90" s="276">
        <f>'По терминалам'!Q136</f>
        <v>0</v>
      </c>
      <c r="Y90" s="173" t="str">
        <f>D87</f>
        <v>Помещение возбуждения. Шкаф защит 2к</v>
      </c>
    </row>
    <row r="91" ht="28.5">
      <c r="B91" s="103">
        <v>81</v>
      </c>
      <c r="C91" s="314" t="s">
        <v>175</v>
      </c>
      <c r="D91" s="261" t="s">
        <v>333</v>
      </c>
      <c r="E91" s="65" t="str">
        <f>'По терминалам'!E219</f>
        <v>А461</v>
      </c>
      <c r="F91" s="263" t="s">
        <v>24</v>
      </c>
      <c r="G91" s="65">
        <f>'По терминалам'!G219</f>
        <v>0</v>
      </c>
      <c r="H91" s="65">
        <f>'По терминалам'!H219</f>
        <v>0</v>
      </c>
      <c r="I91" s="65">
        <f>'По терминалам'!I219</f>
        <v>0</v>
      </c>
      <c r="J91" s="22" t="str">
        <f>'По терминалам'!J219</f>
        <v>X121</v>
      </c>
      <c r="K91" s="65">
        <f>'По терминалам'!K219</f>
        <v>0</v>
      </c>
      <c r="L91" s="65">
        <f>'По терминалам'!L219</f>
        <v>0</v>
      </c>
      <c r="M91" s="305" t="str">
        <f>'По терминалам'!M219</f>
        <v>Нет БИ</v>
      </c>
      <c r="N91" s="306">
        <f>'По терминалам'!N219</f>
        <v>0</v>
      </c>
      <c r="O91" s="306">
        <f>'По терминалам'!O219</f>
        <v>0</v>
      </c>
      <c r="P91" s="306">
        <f>'По терминалам'!P219</f>
        <v>0</v>
      </c>
      <c r="Q91" s="307">
        <f>'По терминалам'!Q219</f>
        <v>0</v>
      </c>
      <c r="S91" s="4" t="s">
        <v>397</v>
      </c>
      <c r="T91" s="5" t="s">
        <v>398</v>
      </c>
      <c r="U91" s="5" t="s">
        <v>399</v>
      </c>
      <c r="V91" s="5" t="s">
        <v>400</v>
      </c>
      <c r="W91" s="6" t="s">
        <v>401</v>
      </c>
      <c r="Y91" s="173" t="str">
        <f>D91</f>
        <v>Шкаф ВЛБ-13</v>
      </c>
    </row>
    <row r="92">
      <c r="B92" s="103">
        <v>82</v>
      </c>
      <c r="C92" s="315"/>
      <c r="D92" s="326"/>
      <c r="E92" s="66" t="str">
        <f>'По терминалам'!E220</f>
        <v>В461</v>
      </c>
      <c r="F92" s="337"/>
      <c r="G92" s="66">
        <f>'По терминалам'!G220</f>
        <v>0</v>
      </c>
      <c r="H92" s="66">
        <f>'По терминалам'!H220</f>
        <v>0</v>
      </c>
      <c r="I92" s="66">
        <f>'По терминалам'!I220</f>
        <v>0</v>
      </c>
      <c r="J92" s="18" t="str">
        <f>'По терминалам'!J220</f>
        <v>X122</v>
      </c>
      <c r="K92" s="66">
        <f>'По терминалам'!K220</f>
        <v>0</v>
      </c>
      <c r="L92" s="66">
        <f>'По терминалам'!L220</f>
        <v>0</v>
      </c>
      <c r="M92" s="308">
        <f>'По терминалам'!M220</f>
        <v>0</v>
      </c>
      <c r="N92" s="309">
        <f>'По терминалам'!N220</f>
        <v>0</v>
      </c>
      <c r="O92" s="309">
        <f>'По терминалам'!O220</f>
        <v>0</v>
      </c>
      <c r="P92" s="309">
        <f>'По терминалам'!P220</f>
        <v>0</v>
      </c>
      <c r="Q92" s="310">
        <f>'По терминалам'!Q220</f>
        <v>0</v>
      </c>
      <c r="S92" s="8" t="s">
        <v>410</v>
      </c>
      <c r="T92" s="9" t="s">
        <v>402</v>
      </c>
      <c r="U92" s="9" t="s">
        <v>406</v>
      </c>
      <c r="V92" s="9"/>
      <c r="W92" s="10"/>
      <c r="Y92" s="173" t="str">
        <f>D91</f>
        <v>Шкаф ВЛБ-13</v>
      </c>
    </row>
    <row r="93">
      <c r="B93" s="103">
        <v>83</v>
      </c>
      <c r="C93" s="315"/>
      <c r="D93" s="326"/>
      <c r="E93" s="12" t="str">
        <f>'По терминалам'!E221</f>
        <v>С461</v>
      </c>
      <c r="F93" s="337"/>
      <c r="G93" s="66">
        <f>'По терминалам'!G221</f>
        <v>0</v>
      </c>
      <c r="H93" s="66">
        <f>'По терминалам'!H221</f>
        <v>0</v>
      </c>
      <c r="I93" s="66">
        <f>'По терминалам'!I221</f>
        <v>0</v>
      </c>
      <c r="J93" s="18" t="str">
        <f>'По терминалам'!J221</f>
        <v>X123</v>
      </c>
      <c r="K93" s="66">
        <f>'По терминалам'!K221</f>
        <v>0</v>
      </c>
      <c r="L93" s="66">
        <f>'По терминалам'!L221</f>
        <v>0</v>
      </c>
      <c r="M93" s="308">
        <f>'По терминалам'!M221</f>
        <v>0</v>
      </c>
      <c r="N93" s="309">
        <f>'По терминалам'!N221</f>
        <v>0</v>
      </c>
      <c r="O93" s="309">
        <f>'По терминалам'!O221</f>
        <v>0</v>
      </c>
      <c r="P93" s="309">
        <f>'По терминалам'!P221</f>
        <v>0</v>
      </c>
      <c r="Q93" s="310">
        <f>'По терминалам'!Q221</f>
        <v>0</v>
      </c>
      <c r="Y93" s="173" t="str">
        <f>D91</f>
        <v>Шкаф ВЛБ-13</v>
      </c>
    </row>
    <row r="94" ht="45">
      <c r="B94" s="103">
        <v>84</v>
      </c>
      <c r="C94" s="315"/>
      <c r="D94" s="262"/>
      <c r="E94" s="13" t="str">
        <f>'По терминалам'!E222</f>
        <v>N461</v>
      </c>
      <c r="F94" s="264"/>
      <c r="G94" s="63">
        <f>'По терминалам'!G222</f>
        <v>0</v>
      </c>
      <c r="H94" s="63">
        <f>'По терминалам'!H222</f>
        <v>0</v>
      </c>
      <c r="I94" s="63">
        <f>'По терминалам'!I222</f>
        <v>0</v>
      </c>
      <c r="J94" s="24" t="str">
        <f>'По терминалам'!J222</f>
        <v>X124 X125 X126</v>
      </c>
      <c r="K94" s="63">
        <f>'По терминалам'!K222</f>
        <v>0</v>
      </c>
      <c r="L94" s="63">
        <f>'По терминалам'!L222</f>
        <v>0</v>
      </c>
      <c r="M94" s="311">
        <f>'По терминалам'!M222</f>
        <v>0</v>
      </c>
      <c r="N94" s="312">
        <f>'По терминалам'!N222</f>
        <v>0</v>
      </c>
      <c r="O94" s="312">
        <f>'По терминалам'!O222</f>
        <v>0</v>
      </c>
      <c r="P94" s="312">
        <f>'По терминалам'!P222</f>
        <v>0</v>
      </c>
      <c r="Q94" s="313">
        <f>'По терминалам'!Q222</f>
        <v>0</v>
      </c>
      <c r="Y94" s="173" t="str">
        <f>D91</f>
        <v>Шкаф ВЛБ-13</v>
      </c>
    </row>
    <row r="95">
      <c r="B95" s="103">
        <v>85</v>
      </c>
      <c r="C95" s="315"/>
      <c r="D95" s="261" t="s">
        <v>356</v>
      </c>
      <c r="E95" s="65" t="str">
        <f>'По терминалам'!E247</f>
        <v>А461</v>
      </c>
      <c r="F95" s="303" t="s">
        <v>368</v>
      </c>
      <c r="G95" s="65" t="str">
        <f>'По терминалам'!G247</f>
        <v>02XC1</v>
      </c>
      <c r="H95" s="65">
        <f>'По терминалам'!H247</f>
        <v>14</v>
      </c>
      <c r="I95" s="65" t="str">
        <f>'По терминалам'!I247</f>
        <v>163L</v>
      </c>
      <c r="J95" s="22" t="str">
        <f>'По терминалам'!J247</f>
        <v>02XC5</v>
      </c>
      <c r="K95" s="65">
        <f>'По терминалам'!K247</f>
        <v>0</v>
      </c>
      <c r="L95" s="65">
        <f>'По терминалам'!L247</f>
        <v>0</v>
      </c>
      <c r="M95" s="303" t="str">
        <f>'По терминалам'!M247</f>
        <v>SG2</v>
      </c>
      <c r="N95" s="17">
        <f>'По терминалам'!N247</f>
        <v>2</v>
      </c>
      <c r="O95" s="17">
        <f>'По терминалам'!O247</f>
        <v>4</v>
      </c>
      <c r="P95" s="65">
        <f>'По терминалам'!P247</f>
        <v>0</v>
      </c>
      <c r="Q95" s="67">
        <f>'По терминалам'!Q247</f>
        <v>0</v>
      </c>
      <c r="Y95" s="173" t="str">
        <f>D95</f>
        <v>БВС-1 Шкаф 39Р ДЗО 1к</v>
      </c>
    </row>
    <row r="96">
      <c r="B96" s="103">
        <v>86</v>
      </c>
      <c r="C96" s="315"/>
      <c r="D96" s="326"/>
      <c r="E96" s="66" t="str">
        <f>'По терминалам'!E248</f>
        <v>В461</v>
      </c>
      <c r="F96" s="317"/>
      <c r="G96" s="66" t="str">
        <f>'По терминалам'!G248</f>
        <v>02XC2</v>
      </c>
      <c r="H96" s="66">
        <f>'По терминалам'!H248</f>
        <v>14</v>
      </c>
      <c r="I96" s="66" t="str">
        <f>'По терминалам'!I248</f>
        <v>78C</v>
      </c>
      <c r="J96" s="18" t="str">
        <f>'По терминалам'!J248</f>
        <v>02XC6</v>
      </c>
      <c r="K96" s="66">
        <f>'По терминалам'!K248</f>
        <v>0</v>
      </c>
      <c r="L96" s="66">
        <f>'По терминалам'!L248</f>
        <v>0</v>
      </c>
      <c r="M96" s="317">
        <f>'По терминалам'!M248</f>
        <v>0</v>
      </c>
      <c r="N96" s="12">
        <f>'По терминалам'!N248</f>
        <v>6</v>
      </c>
      <c r="O96" s="12">
        <f>'По терминалам'!O248</f>
        <v>8</v>
      </c>
      <c r="P96" s="66">
        <f>'По терминалам'!P248</f>
        <v>0</v>
      </c>
      <c r="Q96" s="68">
        <f>'По терминалам'!Q248</f>
        <v>0</v>
      </c>
      <c r="Y96" s="173" t="str">
        <f>D95</f>
        <v>БВС-1 Шкаф 39Р ДЗО 1к</v>
      </c>
    </row>
    <row r="97">
      <c r="B97" s="103">
        <v>87</v>
      </c>
      <c r="C97" s="315"/>
      <c r="D97" s="326"/>
      <c r="E97" s="12" t="str">
        <f>'По терминалам'!E249</f>
        <v>С461</v>
      </c>
      <c r="F97" s="317"/>
      <c r="G97" s="66" t="str">
        <f>'По терминалам'!G249</f>
        <v>02XC3</v>
      </c>
      <c r="H97" s="66">
        <f>'По терминалам'!H249</f>
        <v>14</v>
      </c>
      <c r="I97" s="66" t="str">
        <f>'По терминалам'!I249</f>
        <v>45L</v>
      </c>
      <c r="J97" s="18" t="str">
        <f>'По терминалам'!J249</f>
        <v>02XC7</v>
      </c>
      <c r="K97" s="66">
        <f>'По терминалам'!K249</f>
        <v>0</v>
      </c>
      <c r="L97" s="66">
        <f>'По терминалам'!L249</f>
        <v>0</v>
      </c>
      <c r="M97" s="317">
        <f>'По терминалам'!M249</f>
        <v>0</v>
      </c>
      <c r="N97" s="12">
        <f>'По терминалам'!N249</f>
        <v>10</v>
      </c>
      <c r="O97" s="12">
        <f>'По терминалам'!O249</f>
        <v>12</v>
      </c>
      <c r="P97" s="66">
        <f>'По терминалам'!P249</f>
        <v>0</v>
      </c>
      <c r="Q97" s="68">
        <f>'По терминалам'!Q249</f>
        <v>0</v>
      </c>
      <c r="Y97" s="173" t="str">
        <f>D95</f>
        <v>БВС-1 Шкаф 39Р ДЗО 1к</v>
      </c>
    </row>
    <row r="98">
      <c r="B98" s="103">
        <v>88</v>
      </c>
      <c r="C98" s="315"/>
      <c r="D98" s="262"/>
      <c r="E98" s="13" t="str">
        <f>'По терминалам'!E250</f>
        <v>N461</v>
      </c>
      <c r="F98" s="304"/>
      <c r="G98" s="13" t="str">
        <f>'По терминалам'!G250</f>
        <v>02XC4</v>
      </c>
      <c r="H98" s="13">
        <f>'По терминалам'!H250</f>
        <v>0</v>
      </c>
      <c r="I98" s="13" t="str">
        <f>'По терминалам'!I250</f>
        <v>-</v>
      </c>
      <c r="J98" s="62" t="str">
        <f>'По терминалам'!J250</f>
        <v>02XC4a</v>
      </c>
      <c r="K98" s="13">
        <f>'По терминалам'!K250</f>
        <v>0</v>
      </c>
      <c r="L98" s="13">
        <f>'По терминалам'!L250</f>
        <v>0</v>
      </c>
      <c r="M98" s="304">
        <f>'По терминалам'!M250</f>
        <v>0</v>
      </c>
      <c r="N98" s="318" t="str">
        <f>'По терминалам'!N250</f>
        <v>-</v>
      </c>
      <c r="O98" s="319">
        <f>'По терминалам'!O250</f>
        <v>0</v>
      </c>
      <c r="P98" s="319">
        <f>'По терминалам'!P250</f>
        <v>0</v>
      </c>
      <c r="Q98" s="320">
        <f>'По терминалам'!Q250</f>
        <v>0</v>
      </c>
      <c r="Y98" s="173" t="str">
        <f>D95</f>
        <v>БВС-1 Шкаф 39Р ДЗО 1к</v>
      </c>
    </row>
    <row r="99">
      <c r="B99" s="103">
        <v>89</v>
      </c>
      <c r="C99" s="315"/>
      <c r="D99" s="261" t="s">
        <v>164</v>
      </c>
      <c r="E99" s="65" t="str">
        <f>'По терминалам'!E43</f>
        <v>А462</v>
      </c>
      <c r="F99" s="303" t="s">
        <v>24</v>
      </c>
      <c r="G99" s="17" t="str">
        <f>'По терминалам'!G43</f>
        <v>X128</v>
      </c>
      <c r="H99" s="17">
        <f>'По терминалам'!H43</f>
        <v>0</v>
      </c>
      <c r="I99" s="17">
        <f>'По терминалам'!I43</f>
        <v>0</v>
      </c>
      <c r="J99" s="36" t="str">
        <f>'По терминалам'!J43</f>
        <v>X132</v>
      </c>
      <c r="K99" s="17">
        <f>'По терминалам'!K43</f>
        <v>0</v>
      </c>
      <c r="L99" s="17">
        <f>'По терминалам'!L43</f>
        <v>0</v>
      </c>
      <c r="M99" s="303" t="str">
        <f>'По терминалам'!M43</f>
        <v>SG5</v>
      </c>
      <c r="N99" s="17">
        <f>'По терминалам'!N43</f>
        <v>2</v>
      </c>
      <c r="O99" s="17">
        <f>'По терминалам'!O43</f>
        <v>4</v>
      </c>
      <c r="P99" s="65">
        <f>'По терминалам'!P43</f>
        <v>32</v>
      </c>
      <c r="Q99" s="67" t="str">
        <f>'По терминалам'!Q43</f>
        <v>163L</v>
      </c>
      <c r="Y99" s="173" t="str">
        <f>D99</f>
        <v>РЩГ-1 1НА04 защиты 1Т 1к</v>
      </c>
    </row>
    <row r="100">
      <c r="B100" s="103">
        <v>90</v>
      </c>
      <c r="C100" s="315"/>
      <c r="D100" s="326"/>
      <c r="E100" s="66" t="str">
        <f>'По терминалам'!E44</f>
        <v>В462</v>
      </c>
      <c r="F100" s="317"/>
      <c r="G100" s="12" t="str">
        <f>'По терминалам'!G44</f>
        <v>X129</v>
      </c>
      <c r="H100" s="12">
        <f>'По терминалам'!H44</f>
        <v>0</v>
      </c>
      <c r="I100" s="12">
        <f>'По терминалам'!I44</f>
        <v>0</v>
      </c>
      <c r="J100" s="37" t="str">
        <f>'По терминалам'!J44</f>
        <v>X133</v>
      </c>
      <c r="K100" s="12">
        <f>'По терминалам'!K44</f>
        <v>0</v>
      </c>
      <c r="L100" s="12">
        <f>'По терминалам'!L44</f>
        <v>0</v>
      </c>
      <c r="M100" s="317">
        <f>'По терминалам'!M44</f>
        <v>0</v>
      </c>
      <c r="N100" s="12">
        <f>'По терминалам'!N44</f>
        <v>6</v>
      </c>
      <c r="O100" s="12">
        <f>'По терминалам'!O44</f>
        <v>8</v>
      </c>
      <c r="P100" s="66">
        <f>'По терминалам'!P44</f>
        <v>33</v>
      </c>
      <c r="Q100" s="68" t="str">
        <f>'По терминалам'!Q44</f>
        <v>77C</v>
      </c>
      <c r="Y100" s="173" t="str">
        <f>D99</f>
        <v>РЩГ-1 1НА04 защиты 1Т 1к</v>
      </c>
    </row>
    <row r="101">
      <c r="B101" s="103">
        <v>91</v>
      </c>
      <c r="C101" s="315"/>
      <c r="D101" s="326"/>
      <c r="E101" s="12" t="str">
        <f>'По терминалам'!E45</f>
        <v>С462</v>
      </c>
      <c r="F101" s="317"/>
      <c r="G101" s="12" t="str">
        <f>'По терминалам'!G45</f>
        <v>X130</v>
      </c>
      <c r="H101" s="12">
        <f>'По терминалам'!H45</f>
        <v>0</v>
      </c>
      <c r="I101" s="12">
        <f>'По терминалам'!I45</f>
        <v>0</v>
      </c>
      <c r="J101" s="37" t="str">
        <f>'По терминалам'!J45</f>
        <v>X134</v>
      </c>
      <c r="K101" s="12">
        <f>'По терминалам'!K45</f>
        <v>0</v>
      </c>
      <c r="L101" s="12">
        <f>'По терминалам'!L45</f>
        <v>0</v>
      </c>
      <c r="M101" s="317">
        <f>'По терминалам'!M45</f>
        <v>0</v>
      </c>
      <c r="N101" s="12">
        <f>'По терминалам'!N45</f>
        <v>10</v>
      </c>
      <c r="O101" s="12">
        <f>'По терминалам'!O45</f>
        <v>12</v>
      </c>
      <c r="P101" s="66">
        <f>'По терминалам'!P45</f>
        <v>33</v>
      </c>
      <c r="Q101" s="68" t="str">
        <f>'По терминалам'!Q45</f>
        <v>45L</v>
      </c>
      <c r="Y101" s="173" t="str">
        <f>D99</f>
        <v>РЩГ-1 1НА04 защиты 1Т 1к</v>
      </c>
    </row>
    <row r="102">
      <c r="B102" s="103">
        <v>92</v>
      </c>
      <c r="C102" s="316"/>
      <c r="D102" s="262"/>
      <c r="E102" s="13" t="str">
        <f>'По терминалам'!E46</f>
        <v>N462</v>
      </c>
      <c r="F102" s="304"/>
      <c r="G102" s="13" t="str">
        <f>'По терминалам'!G46</f>
        <v>X131</v>
      </c>
      <c r="H102" s="13">
        <f>'По терминалам'!H46</f>
        <v>0</v>
      </c>
      <c r="I102" s="13">
        <f>'По терминалам'!I46</f>
        <v>0</v>
      </c>
      <c r="J102" s="62" t="str">
        <f>'По терминалам'!J46</f>
        <v>X131</v>
      </c>
      <c r="K102" s="13">
        <f>'По терминалам'!K46</f>
        <v>0</v>
      </c>
      <c r="L102" s="13">
        <f>'По терминалам'!L46</f>
        <v>0</v>
      </c>
      <c r="M102" s="304">
        <f>'По терминалам'!M46</f>
        <v>0</v>
      </c>
      <c r="N102" s="318" t="str">
        <f>'По терминалам'!N46</f>
        <v>-</v>
      </c>
      <c r="O102" s="319">
        <f>'По терминалам'!O46</f>
        <v>0</v>
      </c>
      <c r="P102" s="319">
        <f>'По терминалам'!P46</f>
        <v>0</v>
      </c>
      <c r="Q102" s="320">
        <f>'По терминалам'!Q46</f>
        <v>0</v>
      </c>
      <c r="Y102" s="173" t="str">
        <f>D99</f>
        <v>РЩГ-1 1НА04 защиты 1Т 1к</v>
      </c>
    </row>
    <row r="103" ht="28.5">
      <c r="B103" s="103">
        <v>101</v>
      </c>
      <c r="C103" s="379" t="s">
        <v>239</v>
      </c>
      <c r="D103" s="261" t="s">
        <v>310</v>
      </c>
      <c r="E103" s="65" t="str">
        <f>'По терминалам'!E157</f>
        <v>А471</v>
      </c>
      <c r="F103" s="339" t="s">
        <v>114</v>
      </c>
      <c r="G103" s="339">
        <f>'По терминалам'!G157</f>
        <v>0</v>
      </c>
      <c r="H103" s="339">
        <f>'По терминалам'!H157</f>
        <v>0</v>
      </c>
      <c r="I103" s="339">
        <f>'По терминалам'!I157</f>
        <v>0</v>
      </c>
      <c r="J103" s="65">
        <f>'По терминалам'!J157</f>
        <v>41</v>
      </c>
      <c r="K103" s="17">
        <f>'По терминалам'!K157</f>
        <v>14</v>
      </c>
      <c r="L103" s="65" t="str">
        <f>'По терминалам'!L157</f>
        <v>163L</v>
      </c>
      <c r="M103" s="339" t="str">
        <f>'По терминалам'!M157</f>
        <v>Нет БИ</v>
      </c>
      <c r="N103" s="339">
        <f>'По терминалам'!N157</f>
        <v>0</v>
      </c>
      <c r="O103" s="339">
        <f>'По терминалам'!O157</f>
        <v>0</v>
      </c>
      <c r="P103" s="339">
        <f>'По терминалам'!P157</f>
        <v>0</v>
      </c>
      <c r="Q103" s="344">
        <f>'По терминалам'!Q157</f>
        <v>0</v>
      </c>
      <c r="S103" s="4" t="s">
        <v>397</v>
      </c>
      <c r="T103" s="5" t="s">
        <v>398</v>
      </c>
      <c r="U103" s="5" t="s">
        <v>399</v>
      </c>
      <c r="V103" s="5" t="s">
        <v>400</v>
      </c>
      <c r="W103" s="6" t="s">
        <v>401</v>
      </c>
      <c r="Y103" s="173" t="str">
        <f>D103</f>
        <v>ЭГРУ ШТН</v>
      </c>
    </row>
    <row r="104">
      <c r="B104" s="103">
        <v>102</v>
      </c>
      <c r="C104" s="380"/>
      <c r="D104" s="326"/>
      <c r="E104" s="66" t="str">
        <f>'По терминалам'!E158</f>
        <v>В471</v>
      </c>
      <c r="F104" s="340"/>
      <c r="G104" s="340">
        <f>'По терминалам'!G158</f>
        <v>0</v>
      </c>
      <c r="H104" s="340">
        <f>'По терминалам'!H158</f>
        <v>0</v>
      </c>
      <c r="I104" s="340">
        <f>'По терминалам'!I158</f>
        <v>0</v>
      </c>
      <c r="J104" s="66">
        <f>'По терминалам'!J158</f>
        <v>42</v>
      </c>
      <c r="K104" s="12">
        <f>'По терминалам'!K158</f>
        <v>14</v>
      </c>
      <c r="L104" s="66" t="str">
        <f>'По терминалам'!L158</f>
        <v>79C</v>
      </c>
      <c r="M104" s="340">
        <f>'По терминалам'!M158</f>
        <v>0</v>
      </c>
      <c r="N104" s="340">
        <f>'По терминалам'!N158</f>
        <v>0</v>
      </c>
      <c r="O104" s="340">
        <f>'По терминалам'!O158</f>
        <v>0</v>
      </c>
      <c r="P104" s="340">
        <f>'По терминалам'!P158</f>
        <v>0</v>
      </c>
      <c r="Q104" s="345">
        <f>'По терминалам'!Q158</f>
        <v>0</v>
      </c>
      <c r="S104" s="31" t="s">
        <v>411</v>
      </c>
      <c r="T104" s="14"/>
      <c r="U104" s="14"/>
      <c r="V104" s="14"/>
      <c r="W104" s="25"/>
      <c r="Y104" s="173" t="str">
        <f>D103</f>
        <v>ЭГРУ ШТН</v>
      </c>
    </row>
    <row r="105">
      <c r="B105" s="103">
        <v>103</v>
      </c>
      <c r="C105" s="380"/>
      <c r="D105" s="326"/>
      <c r="E105" s="12" t="str">
        <f>'По терминалам'!E159</f>
        <v>С471</v>
      </c>
      <c r="F105" s="340"/>
      <c r="G105" s="340">
        <f>'По терминалам'!G159</f>
        <v>0</v>
      </c>
      <c r="H105" s="340">
        <f>'По терминалам'!H159</f>
        <v>0</v>
      </c>
      <c r="I105" s="340">
        <f>'По терминалам'!I159</f>
        <v>0</v>
      </c>
      <c r="J105" s="66">
        <f>'По терминалам'!J159</f>
        <v>43</v>
      </c>
      <c r="K105" s="12">
        <f>'По терминалам'!K159</f>
        <v>14</v>
      </c>
      <c r="L105" s="66" t="str">
        <f>'По терминалам'!L159</f>
        <v>45L</v>
      </c>
      <c r="M105" s="340">
        <f>'По терминалам'!M159</f>
        <v>0</v>
      </c>
      <c r="N105" s="340">
        <f>'По терминалам'!N159</f>
        <v>0</v>
      </c>
      <c r="O105" s="340">
        <f>'По терминалам'!O159</f>
        <v>0</v>
      </c>
      <c r="P105" s="340">
        <f>'По терминалам'!P159</f>
        <v>0</v>
      </c>
      <c r="Q105" s="345">
        <f>'По терминалам'!Q159</f>
        <v>0</v>
      </c>
      <c r="Y105" s="173" t="str">
        <f>D103</f>
        <v>ЭГРУ ШТН</v>
      </c>
    </row>
    <row r="106">
      <c r="B106" s="103">
        <v>104</v>
      </c>
      <c r="C106" s="380"/>
      <c r="D106" s="343"/>
      <c r="E106" s="28" t="str">
        <f>'По терминалам'!E160</f>
        <v>N471</v>
      </c>
      <c r="F106" s="341"/>
      <c r="G106" s="341">
        <f>'По терминалам'!G160</f>
        <v>0</v>
      </c>
      <c r="H106" s="341">
        <f>'По терминалам'!H160</f>
        <v>0</v>
      </c>
      <c r="I106" s="341">
        <f>'По терминалам'!I160</f>
        <v>0</v>
      </c>
      <c r="J106" s="29">
        <f>'По терминалам'!J160</f>
        <v>44</v>
      </c>
      <c r="K106" s="28">
        <f>'По терминалам'!K160</f>
        <v>0</v>
      </c>
      <c r="L106" s="29" t="str">
        <f>'По терминалам'!L160</f>
        <v>-</v>
      </c>
      <c r="M106" s="341">
        <f>'По терминалам'!M160</f>
        <v>0</v>
      </c>
      <c r="N106" s="341">
        <f>'По терминалам'!N160</f>
        <v>0</v>
      </c>
      <c r="O106" s="341">
        <f>'По терминалам'!O160</f>
        <v>0</v>
      </c>
      <c r="P106" s="341">
        <f>'По терминалам'!P160</f>
        <v>0</v>
      </c>
      <c r="Q106" s="346">
        <f>'По терминалам'!Q160</f>
        <v>0</v>
      </c>
      <c r="Y106" s="173" t="str">
        <f>D103</f>
        <v>ЭГРУ ШТН</v>
      </c>
    </row>
    <row r="107">
      <c r="B107" s="103">
        <v>105</v>
      </c>
      <c r="C107" s="380"/>
      <c r="D107" s="261" t="s">
        <v>226</v>
      </c>
      <c r="E107" s="65" t="str">
        <f>'По терминалам'!E91</f>
        <v>А471</v>
      </c>
      <c r="F107" s="339" t="s">
        <v>114</v>
      </c>
      <c r="G107" s="17">
        <f>'По терминалам'!G91</f>
        <v>156</v>
      </c>
      <c r="H107" s="17">
        <f>'По терминалам'!H91</f>
        <v>14</v>
      </c>
      <c r="I107" s="65" t="str">
        <f>'По терминалам'!I91</f>
        <v>163L</v>
      </c>
      <c r="J107" s="339" t="str">
        <f>'По терминалам'!J91</f>
        <v>-</v>
      </c>
      <c r="K107" s="339">
        <f>'По терминалам'!K91</f>
        <v>0</v>
      </c>
      <c r="L107" s="339">
        <f>'По терминалам'!L91</f>
        <v>0</v>
      </c>
      <c r="M107" s="339" t="str">
        <f>'По терминалам'!M91</f>
        <v>SG10</v>
      </c>
      <c r="N107" s="17">
        <f>'По терминалам'!N91</f>
        <v>2</v>
      </c>
      <c r="O107" s="17">
        <f>'По терминалам'!O91</f>
        <v>4</v>
      </c>
      <c r="P107" s="17">
        <f>'По терминалам'!P91</f>
        <v>14</v>
      </c>
      <c r="Q107" s="67" t="str">
        <f>'По терминалам'!Q91</f>
        <v>163L</v>
      </c>
      <c r="Y107" s="173" t="str">
        <f>D107</f>
        <v>РЩГ-1 1НА05 защиты 1Т 2к</v>
      </c>
    </row>
    <row r="108">
      <c r="B108" s="103">
        <v>106</v>
      </c>
      <c r="C108" s="380"/>
      <c r="D108" s="326"/>
      <c r="E108" s="66" t="str">
        <f>'По терминалам'!E92</f>
        <v>В471</v>
      </c>
      <c r="F108" s="340"/>
      <c r="G108" s="12">
        <f>'По терминалам'!G92</f>
        <v>157</v>
      </c>
      <c r="H108" s="12">
        <f>'По терминалам'!H92</f>
        <v>14</v>
      </c>
      <c r="I108" s="66" t="str">
        <f>'По терминалам'!I92</f>
        <v>78C</v>
      </c>
      <c r="J108" s="340">
        <f>'По терминалам'!J92</f>
        <v>0</v>
      </c>
      <c r="K108" s="340">
        <f>'По терминалам'!K92</f>
        <v>0</v>
      </c>
      <c r="L108" s="340">
        <f>'По терминалам'!L92</f>
        <v>0</v>
      </c>
      <c r="M108" s="340">
        <f>'По терминалам'!M92</f>
        <v>0</v>
      </c>
      <c r="N108" s="12">
        <f>'По терминалам'!N92</f>
        <v>6</v>
      </c>
      <c r="O108" s="12">
        <f>'По терминалам'!O92</f>
        <v>8</v>
      </c>
      <c r="P108" s="12">
        <f>'По терминалам'!P92</f>
        <v>14</v>
      </c>
      <c r="Q108" s="68" t="str">
        <f>'По терминалам'!Q92</f>
        <v>78C</v>
      </c>
      <c r="Y108" s="173" t="str">
        <f>D107</f>
        <v>РЩГ-1 1НА05 защиты 1Т 2к</v>
      </c>
    </row>
    <row r="109">
      <c r="B109" s="103">
        <v>107</v>
      </c>
      <c r="C109" s="380"/>
      <c r="D109" s="326"/>
      <c r="E109" s="12" t="str">
        <f>'По терминалам'!E93</f>
        <v>С471</v>
      </c>
      <c r="F109" s="340"/>
      <c r="G109" s="12">
        <f>'По терминалам'!G93</f>
        <v>158</v>
      </c>
      <c r="H109" s="12">
        <f>'По терминалам'!H93</f>
        <v>14</v>
      </c>
      <c r="I109" s="66" t="str">
        <f>'По терминалам'!I93</f>
        <v>45L</v>
      </c>
      <c r="J109" s="340">
        <f>'По терминалам'!J93</f>
        <v>0</v>
      </c>
      <c r="K109" s="340">
        <f>'По терминалам'!K93</f>
        <v>0</v>
      </c>
      <c r="L109" s="340">
        <f>'По терминалам'!L93</f>
        <v>0</v>
      </c>
      <c r="M109" s="340">
        <f>'По терминалам'!M93</f>
        <v>0</v>
      </c>
      <c r="N109" s="12">
        <f>'По терминалам'!N93</f>
        <v>10</v>
      </c>
      <c r="O109" s="12">
        <f>'По терминалам'!O93</f>
        <v>12</v>
      </c>
      <c r="P109" s="12">
        <f>'По терминалам'!P93</f>
        <v>14</v>
      </c>
      <c r="Q109" s="68" t="str">
        <f>'По терминалам'!Q93</f>
        <v>45L</v>
      </c>
      <c r="Y109" s="173" t="str">
        <f>D107</f>
        <v>РЩГ-1 1НА05 защиты 1Т 2к</v>
      </c>
    </row>
    <row r="110">
      <c r="B110" s="103">
        <v>108</v>
      </c>
      <c r="C110" s="380"/>
      <c r="D110" s="262"/>
      <c r="E110" s="13" t="str">
        <f>'По терминалам'!E94</f>
        <v>N471</v>
      </c>
      <c r="F110" s="342"/>
      <c r="G110" s="13">
        <f>'По терминалам'!G94</f>
        <v>159</v>
      </c>
      <c r="H110" s="13">
        <f>'По терминалам'!H94</f>
        <v>0</v>
      </c>
      <c r="I110" s="63" t="str">
        <f>'По терминалам'!I94</f>
        <v>-</v>
      </c>
      <c r="J110" s="342">
        <f>'По терминалам'!J94</f>
        <v>0</v>
      </c>
      <c r="K110" s="342">
        <f>'По терминалам'!K94</f>
        <v>0</v>
      </c>
      <c r="L110" s="342">
        <f>'По терминалам'!L94</f>
        <v>0</v>
      </c>
      <c r="M110" s="342" t="str">
        <f>'По терминалам'!M94</f>
        <v>-</v>
      </c>
      <c r="N110" s="342">
        <f>'По терминалам'!N94</f>
        <v>0</v>
      </c>
      <c r="O110" s="342">
        <f>'По терминалам'!O94</f>
        <v>0</v>
      </c>
      <c r="P110" s="342">
        <f>'По терминалам'!P94</f>
        <v>0</v>
      </c>
      <c r="Q110" s="347">
        <f>'По терминалам'!Q94</f>
        <v>0</v>
      </c>
      <c r="Y110" s="173" t="str">
        <f>D107</f>
        <v>РЩГ-1 1НА05 защиты 1Т 2к</v>
      </c>
    </row>
    <row r="111">
      <c r="B111" s="103">
        <v>157</v>
      </c>
      <c r="C111" s="380"/>
      <c r="D111" s="261" t="s">
        <v>252</v>
      </c>
      <c r="E111" s="106" t="str">
        <f>'По терминалам'!E103</f>
        <v>А472</v>
      </c>
      <c r="F111" s="261" t="s">
        <v>105</v>
      </c>
      <c r="G111" s="119">
        <f>'По терминалам'!G103</f>
        <v>1</v>
      </c>
      <c r="H111" s="106">
        <f>'По терминалам'!H103</f>
        <v>31</v>
      </c>
      <c r="I111" s="106" t="str">
        <f>'По терминалам'!I103</f>
        <v>162L</v>
      </c>
      <c r="J111" s="119">
        <f>'По терминалам'!J103</f>
        <v>2</v>
      </c>
      <c r="K111" s="106">
        <f>'По терминалам'!K103</f>
        <v>31</v>
      </c>
      <c r="L111" s="106" t="str">
        <f>'По терминалам'!L103</f>
        <v>162L</v>
      </c>
      <c r="M111" s="261" t="str">
        <f>'По терминалам'!M103</f>
        <v>SG1</v>
      </c>
      <c r="N111" s="119">
        <f>'По терминалам'!N103</f>
        <v>2</v>
      </c>
      <c r="O111" s="119">
        <f>'По терминалам'!O103</f>
        <v>4</v>
      </c>
      <c r="P111" s="106">
        <f>'По терминалам'!P103</f>
        <v>30</v>
      </c>
      <c r="Q111" s="107" t="str">
        <f>'По терминалам'!Q103</f>
        <v>162L</v>
      </c>
      <c r="Y111" s="173" t="str">
        <f>D111</f>
        <v>РЩГ-1 1НА13 РАС</v>
      </c>
    </row>
    <row r="112">
      <c r="B112" s="103">
        <v>158</v>
      </c>
      <c r="C112" s="380"/>
      <c r="D112" s="326"/>
      <c r="E112" s="108" t="str">
        <f>'По терминалам'!E104</f>
        <v>В472</v>
      </c>
      <c r="F112" s="326"/>
      <c r="G112" s="120">
        <f>'По терминалам'!G104</f>
        <v>3</v>
      </c>
      <c r="H112" s="108">
        <f>'По терминалам'!H104</f>
        <v>32</v>
      </c>
      <c r="I112" s="108" t="str">
        <f>'По терминалам'!I104</f>
        <v>79C</v>
      </c>
      <c r="J112" s="120">
        <f>'По терминалам'!J104</f>
        <v>4</v>
      </c>
      <c r="K112" s="108">
        <f>'По терминалам'!K104</f>
        <v>32</v>
      </c>
      <c r="L112" s="108" t="str">
        <f>'По терминалам'!L104</f>
        <v>79C</v>
      </c>
      <c r="M112" s="326">
        <f>'По терминалам'!M104</f>
        <v>0</v>
      </c>
      <c r="N112" s="120">
        <f>'По терминалам'!N104</f>
        <v>6</v>
      </c>
      <c r="O112" s="120">
        <f>'По терминалам'!O104</f>
        <v>8</v>
      </c>
      <c r="P112" s="108">
        <f>'По терминалам'!P104</f>
        <v>32</v>
      </c>
      <c r="Q112" s="109" t="str">
        <f>'По терминалам'!Q104</f>
        <v>79C</v>
      </c>
      <c r="Y112" s="173" t="str">
        <f>D111</f>
        <v>РЩГ-1 1НА13 РАС</v>
      </c>
    </row>
    <row r="113">
      <c r="B113" s="103">
        <v>159</v>
      </c>
      <c r="C113" s="380"/>
      <c r="D113" s="326"/>
      <c r="E113" s="120" t="str">
        <f>'По терминалам'!E105</f>
        <v>С472</v>
      </c>
      <c r="F113" s="326"/>
      <c r="G113" s="120">
        <f>'По терминалам'!G105</f>
        <v>5</v>
      </c>
      <c r="H113" s="108">
        <f>'По терминалам'!H105</f>
        <v>31</v>
      </c>
      <c r="I113" s="108" t="str">
        <f>'По терминалам'!I105</f>
        <v>43L</v>
      </c>
      <c r="J113" s="120">
        <f>'По терминалам'!J105</f>
        <v>6</v>
      </c>
      <c r="K113" s="108">
        <f>'По терминалам'!K105</f>
        <v>31</v>
      </c>
      <c r="L113" s="108" t="str">
        <f>'По терминалам'!L105</f>
        <v>43L</v>
      </c>
      <c r="M113" s="326">
        <f>'По терминалам'!M105</f>
        <v>0</v>
      </c>
      <c r="N113" s="120">
        <f>'По терминалам'!N105</f>
        <v>10</v>
      </c>
      <c r="O113" s="120">
        <f>'По терминалам'!O105</f>
        <v>12</v>
      </c>
      <c r="P113" s="108">
        <f>'По терминалам'!P105</f>
        <v>31</v>
      </c>
      <c r="Q113" s="109" t="str">
        <f>'По терминалам'!Q105</f>
        <v>43L</v>
      </c>
      <c r="Y113" s="173" t="str">
        <f>D111</f>
        <v>РЩГ-1 1НА13 РАС</v>
      </c>
    </row>
    <row r="114">
      <c r="B114" s="103">
        <v>160</v>
      </c>
      <c r="C114" s="381"/>
      <c r="D114" s="262"/>
      <c r="E114" s="121" t="str">
        <f>'По терминалам'!E106</f>
        <v>N512</v>
      </c>
      <c r="F114" s="262"/>
      <c r="G114" s="121">
        <f>'По терминалам'!G106</f>
        <v>7</v>
      </c>
      <c r="H114" s="121">
        <f>'По терминалам'!H106</f>
        <v>0</v>
      </c>
      <c r="I114" s="110" t="str">
        <f>'По терминалам'!I106</f>
        <v>-</v>
      </c>
      <c r="J114" s="121">
        <f>'По терминалам'!J106</f>
        <v>8</v>
      </c>
      <c r="K114" s="121">
        <f>'По терминалам'!K106</f>
        <v>0</v>
      </c>
      <c r="L114" s="110" t="str">
        <f>'По терминалам'!L106</f>
        <v>-</v>
      </c>
      <c r="M114" s="342" t="str">
        <f>'По терминалам'!M106</f>
        <v>-</v>
      </c>
      <c r="N114" s="342">
        <f>'По терминалам'!N106</f>
        <v>0</v>
      </c>
      <c r="O114" s="342">
        <f>'По терминалам'!O106</f>
        <v>0</v>
      </c>
      <c r="P114" s="342">
        <f>'По терминалам'!P106</f>
        <v>0</v>
      </c>
      <c r="Q114" s="347">
        <f>'По терминалам'!Q106</f>
        <v>0</v>
      </c>
      <c r="Y114" s="173" t="str">
        <f>D111</f>
        <v>РЩГ-1 1НА13 РАС</v>
      </c>
    </row>
    <row r="115" ht="28.5">
      <c r="B115" s="103">
        <v>109</v>
      </c>
      <c r="C115" s="292" t="s">
        <v>208</v>
      </c>
      <c r="D115" s="286" t="s">
        <v>310</v>
      </c>
      <c r="E115" s="73" t="str">
        <f>'По терминалам'!E161</f>
        <v>А481</v>
      </c>
      <c r="F115" s="348" t="s">
        <v>114</v>
      </c>
      <c r="G115" s="348" t="str">
        <f>'По терминалам'!G161</f>
        <v>-</v>
      </c>
      <c r="H115" s="348">
        <f>'По терминалам'!H161</f>
        <v>0</v>
      </c>
      <c r="I115" s="348">
        <f>'По терминалам'!I161</f>
        <v>0</v>
      </c>
      <c r="J115" s="73">
        <f>'По терминалам'!J161</f>
        <v>49</v>
      </c>
      <c r="K115" s="73">
        <f>'По терминалам'!K161</f>
        <v>14</v>
      </c>
      <c r="L115" s="73" t="str">
        <f>'По терминалам'!L161</f>
        <v>164L</v>
      </c>
      <c r="M115" s="348" t="str">
        <f>'По терминалам'!M161</f>
        <v>Нет БИ</v>
      </c>
      <c r="N115" s="348">
        <f>'По терминалам'!N161</f>
        <v>0</v>
      </c>
      <c r="O115" s="348">
        <f>'По терминалам'!O161</f>
        <v>0</v>
      </c>
      <c r="P115" s="348">
        <f>'По терминалам'!P161</f>
        <v>0</v>
      </c>
      <c r="Q115" s="351">
        <f>'По терминалам'!Q161</f>
        <v>0</v>
      </c>
      <c r="S115" s="4" t="s">
        <v>397</v>
      </c>
      <c r="T115" s="5" t="s">
        <v>398</v>
      </c>
      <c r="U115" s="5" t="s">
        <v>399</v>
      </c>
      <c r="V115" s="5" t="s">
        <v>400</v>
      </c>
      <c r="W115" s="6" t="s">
        <v>401</v>
      </c>
      <c r="Y115" s="173" t="str">
        <f>D115</f>
        <v>ЭГРУ ШТН</v>
      </c>
    </row>
    <row r="116">
      <c r="B116" s="103">
        <v>110</v>
      </c>
      <c r="C116" s="293"/>
      <c r="D116" s="287"/>
      <c r="E116" s="74" t="str">
        <f>'По терминалам'!E162</f>
        <v>В481</v>
      </c>
      <c r="F116" s="349"/>
      <c r="G116" s="349">
        <f>'По терминалам'!G162</f>
        <v>0</v>
      </c>
      <c r="H116" s="349">
        <f>'По терминалам'!H162</f>
        <v>0</v>
      </c>
      <c r="I116" s="349">
        <f>'По терминалам'!I162</f>
        <v>0</v>
      </c>
      <c r="J116" s="74">
        <f>'По терминалам'!J162</f>
        <v>50</v>
      </c>
      <c r="K116" s="74">
        <f>'По терминалам'!K162</f>
        <v>14</v>
      </c>
      <c r="L116" s="74" t="str">
        <f>'По терминалам'!L162</f>
        <v>79C</v>
      </c>
      <c r="M116" s="349">
        <f>'По терминалам'!M162</f>
        <v>0</v>
      </c>
      <c r="N116" s="349">
        <f>'По терминалам'!N162</f>
        <v>0</v>
      </c>
      <c r="O116" s="349">
        <f>'По терминалам'!O162</f>
        <v>0</v>
      </c>
      <c r="P116" s="349">
        <f>'По терминалам'!P162</f>
        <v>0</v>
      </c>
      <c r="Q116" s="352">
        <f>'По терминалам'!Q162</f>
        <v>0</v>
      </c>
      <c r="S116" s="8" t="s">
        <v>412</v>
      </c>
      <c r="T116" s="9"/>
      <c r="U116" s="9"/>
      <c r="V116" s="9"/>
      <c r="W116" s="10"/>
      <c r="Y116" s="173" t="str">
        <f>D115</f>
        <v>ЭГРУ ШТН</v>
      </c>
    </row>
    <row r="117">
      <c r="B117" s="103">
        <v>111</v>
      </c>
      <c r="C117" s="293"/>
      <c r="D117" s="287"/>
      <c r="E117" s="74" t="str">
        <f>'По терминалам'!E163</f>
        <v>С481</v>
      </c>
      <c r="F117" s="349"/>
      <c r="G117" s="349">
        <f>'По терминалам'!G163</f>
        <v>0</v>
      </c>
      <c r="H117" s="349">
        <f>'По терминалам'!H163</f>
        <v>0</v>
      </c>
      <c r="I117" s="349">
        <f>'По терминалам'!I163</f>
        <v>0</v>
      </c>
      <c r="J117" s="74">
        <f>'По терминалам'!J163</f>
        <v>51</v>
      </c>
      <c r="K117" s="74">
        <f>'По терминалам'!K163</f>
        <v>14</v>
      </c>
      <c r="L117" s="74" t="str">
        <f>'По терминалам'!L163</f>
        <v>45L</v>
      </c>
      <c r="M117" s="349">
        <f>'По терминалам'!M163</f>
        <v>0</v>
      </c>
      <c r="N117" s="349">
        <f>'По терминалам'!N163</f>
        <v>0</v>
      </c>
      <c r="O117" s="349">
        <f>'По терминалам'!O163</f>
        <v>0</v>
      </c>
      <c r="P117" s="349">
        <f>'По терминалам'!P163</f>
        <v>0</v>
      </c>
      <c r="Q117" s="352">
        <f>'По терминалам'!Q163</f>
        <v>0</v>
      </c>
      <c r="Y117" s="173" t="str">
        <f>D115</f>
        <v>ЭГРУ ШТН</v>
      </c>
    </row>
    <row r="118">
      <c r="B118" s="103">
        <v>112</v>
      </c>
      <c r="C118" s="293"/>
      <c r="D118" s="355"/>
      <c r="E118" s="88" t="str">
        <f>'По терминалам'!E164</f>
        <v>N481</v>
      </c>
      <c r="F118" s="354"/>
      <c r="G118" s="354">
        <f>'По терминалам'!G164</f>
        <v>0</v>
      </c>
      <c r="H118" s="354">
        <f>'По терминалам'!H164</f>
        <v>0</v>
      </c>
      <c r="I118" s="354">
        <f>'По терминалам'!I164</f>
        <v>0</v>
      </c>
      <c r="J118" s="88">
        <f>'По терминалам'!J164</f>
        <v>52</v>
      </c>
      <c r="K118" s="88">
        <f>'По терминалам'!K164</f>
        <v>0</v>
      </c>
      <c r="L118" s="88" t="str">
        <f>'По терминалам'!L164</f>
        <v>-</v>
      </c>
      <c r="M118" s="354">
        <f>'По терминалам'!M164</f>
        <v>0</v>
      </c>
      <c r="N118" s="354">
        <f>'По терминалам'!N164</f>
        <v>0</v>
      </c>
      <c r="O118" s="354">
        <f>'По терминалам'!O164</f>
        <v>0</v>
      </c>
      <c r="P118" s="354">
        <f>'По терминалам'!P164</f>
        <v>0</v>
      </c>
      <c r="Q118" s="356">
        <f>'По терминалам'!Q164</f>
        <v>0</v>
      </c>
      <c r="Y118" s="173" t="str">
        <f>D115</f>
        <v>ЭГРУ ШТН</v>
      </c>
    </row>
    <row r="119">
      <c r="B119" s="103">
        <v>113</v>
      </c>
      <c r="C119" s="293"/>
      <c r="D119" s="286" t="s">
        <v>164</v>
      </c>
      <c r="E119" s="73" t="str">
        <f>'По терминалам'!E59</f>
        <v>А481</v>
      </c>
      <c r="F119" s="348" t="s">
        <v>114</v>
      </c>
      <c r="G119" s="73">
        <f>'По терминалам'!G59</f>
        <v>156</v>
      </c>
      <c r="H119" s="73">
        <f>'По терминалам'!H59</f>
        <v>14</v>
      </c>
      <c r="I119" s="73" t="str">
        <f>'По терминалам'!I59</f>
        <v>164L</v>
      </c>
      <c r="J119" s="348" t="str">
        <f>'По терминалам'!J59</f>
        <v>-</v>
      </c>
      <c r="K119" s="348">
        <f>'По терминалам'!K59</f>
        <v>0</v>
      </c>
      <c r="L119" s="348">
        <f>'По терминалам'!L59</f>
        <v>0</v>
      </c>
      <c r="M119" s="348" t="str">
        <f>'По терминалам'!M59</f>
        <v>SG10</v>
      </c>
      <c r="N119" s="73">
        <f>'По терминалам'!N59</f>
        <v>2</v>
      </c>
      <c r="O119" s="73">
        <f>'По терминалам'!O59</f>
        <v>4</v>
      </c>
      <c r="P119" s="73">
        <f>'По терминалам'!P59</f>
        <v>14</v>
      </c>
      <c r="Q119" s="76" t="str">
        <f>'По терминалам'!Q59</f>
        <v>164L</v>
      </c>
      <c r="Y119" s="173" t="str">
        <f>D119</f>
        <v>РЩГ-1 1НА04 защиты 1Т 1к</v>
      </c>
    </row>
    <row r="120">
      <c r="B120" s="103">
        <v>114</v>
      </c>
      <c r="C120" s="293"/>
      <c r="D120" s="287"/>
      <c r="E120" s="74" t="str">
        <f>'По терминалам'!E60</f>
        <v>В481</v>
      </c>
      <c r="F120" s="349"/>
      <c r="G120" s="74">
        <f>'По терминалам'!G60</f>
        <v>157</v>
      </c>
      <c r="H120" s="74">
        <f>'По терминалам'!H60</f>
        <v>14</v>
      </c>
      <c r="I120" s="74" t="str">
        <f>'По терминалам'!I60</f>
        <v>79C</v>
      </c>
      <c r="J120" s="349">
        <f>'По терминалам'!J60</f>
        <v>0</v>
      </c>
      <c r="K120" s="349">
        <f>'По терминалам'!K60</f>
        <v>0</v>
      </c>
      <c r="L120" s="349">
        <f>'По терминалам'!L60</f>
        <v>0</v>
      </c>
      <c r="M120" s="349">
        <f>'По терминалам'!M60</f>
        <v>0</v>
      </c>
      <c r="N120" s="74">
        <f>'По терминалам'!N60</f>
        <v>6</v>
      </c>
      <c r="O120" s="74">
        <f>'По терминалам'!O60</f>
        <v>8</v>
      </c>
      <c r="P120" s="74">
        <f>'По терминалам'!P60</f>
        <v>14</v>
      </c>
      <c r="Q120" s="77" t="str">
        <f>'По терминалам'!Q60</f>
        <v>79C</v>
      </c>
      <c r="Y120" s="173" t="str">
        <f>D119</f>
        <v>РЩГ-1 1НА04 защиты 1Т 1к</v>
      </c>
    </row>
    <row r="121">
      <c r="B121" s="103">
        <v>115</v>
      </c>
      <c r="C121" s="293"/>
      <c r="D121" s="287"/>
      <c r="E121" s="74" t="str">
        <f>'По терминалам'!E61</f>
        <v>С481</v>
      </c>
      <c r="F121" s="349"/>
      <c r="G121" s="74">
        <f>'По терминалам'!G61</f>
        <v>158</v>
      </c>
      <c r="H121" s="74">
        <f>'По терминалам'!H61</f>
        <v>14</v>
      </c>
      <c r="I121" s="74" t="str">
        <f>'По терминалам'!I61</f>
        <v>46L</v>
      </c>
      <c r="J121" s="349">
        <f>'По терминалам'!J61</f>
        <v>0</v>
      </c>
      <c r="K121" s="349">
        <f>'По терминалам'!K61</f>
        <v>0</v>
      </c>
      <c r="L121" s="349">
        <f>'По терминалам'!L61</f>
        <v>0</v>
      </c>
      <c r="M121" s="349">
        <f>'По терминалам'!M61</f>
        <v>0</v>
      </c>
      <c r="N121" s="74">
        <f>'По терминалам'!N61</f>
        <v>10</v>
      </c>
      <c r="O121" s="74">
        <f>'По терминалам'!O61</f>
        <v>12</v>
      </c>
      <c r="P121" s="74">
        <f>'По терминалам'!P61</f>
        <v>14</v>
      </c>
      <c r="Q121" s="77" t="str">
        <f>'По терминалам'!Q61</f>
        <v>46L</v>
      </c>
      <c r="Y121" s="173" t="str">
        <f>D119</f>
        <v>РЩГ-1 1НА04 защиты 1Т 1к</v>
      </c>
    </row>
    <row r="122">
      <c r="B122" s="103">
        <v>116</v>
      </c>
      <c r="C122" s="294"/>
      <c r="D122" s="288"/>
      <c r="E122" s="75" t="str">
        <f>'По терминалам'!E62</f>
        <v>N481</v>
      </c>
      <c r="F122" s="350"/>
      <c r="G122" s="75">
        <f>'По терминалам'!G62</f>
        <v>159</v>
      </c>
      <c r="H122" s="75">
        <f>'По терминалам'!H62</f>
        <v>0</v>
      </c>
      <c r="I122" s="75" t="str">
        <f>'По терминалам'!I62</f>
        <v>-</v>
      </c>
      <c r="J122" s="350">
        <f>'По терминалам'!J62</f>
        <v>0</v>
      </c>
      <c r="K122" s="350">
        <f>'По терминалам'!K62</f>
        <v>0</v>
      </c>
      <c r="L122" s="350">
        <f>'По терминалам'!L62</f>
        <v>0</v>
      </c>
      <c r="M122" s="350" t="str">
        <f>'По терминалам'!M62</f>
        <v>-</v>
      </c>
      <c r="N122" s="350">
        <f>'По терминалам'!N62</f>
        <v>0</v>
      </c>
      <c r="O122" s="350">
        <f>'По терминалам'!O62</f>
        <v>0</v>
      </c>
      <c r="P122" s="350">
        <f>'По терминалам'!P62</f>
        <v>0</v>
      </c>
      <c r="Q122" s="353">
        <f>'По терминалам'!Q62</f>
        <v>0</v>
      </c>
      <c r="Y122" s="173" t="str">
        <f>D119</f>
        <v>РЩГ-1 1НА04 защиты 1Т 1к</v>
      </c>
    </row>
    <row r="123" ht="28.5">
      <c r="B123" s="103">
        <v>117</v>
      </c>
      <c r="C123" s="314" t="s">
        <v>260</v>
      </c>
      <c r="D123" s="261" t="s">
        <v>310</v>
      </c>
      <c r="E123" s="65" t="str">
        <f>'По терминалам'!E165</f>
        <v>А491</v>
      </c>
      <c r="F123" s="339" t="s">
        <v>114</v>
      </c>
      <c r="G123" s="65">
        <f>'По терминалам'!G165</f>
        <v>57</v>
      </c>
      <c r="H123" s="65">
        <f>'По терминалам'!H165</f>
        <v>14</v>
      </c>
      <c r="I123" s="65" t="str">
        <f>'По терминалам'!I165</f>
        <v>164L</v>
      </c>
      <c r="J123" s="65">
        <f>'По терминалам'!J165</f>
        <v>57</v>
      </c>
      <c r="K123" s="17">
        <f>'По терминалам'!K165</f>
        <v>0</v>
      </c>
      <c r="L123" s="65">
        <f>'По терминалам'!L165</f>
        <v>0</v>
      </c>
      <c r="M123" s="339" t="str">
        <f>'По терминалам'!M165</f>
        <v>Нет БИ</v>
      </c>
      <c r="N123" s="339">
        <f>'По терминалам'!N165</f>
        <v>0</v>
      </c>
      <c r="O123" s="339">
        <f>'По терминалам'!O165</f>
        <v>0</v>
      </c>
      <c r="P123" s="339">
        <f>'По терминалам'!P165</f>
        <v>0</v>
      </c>
      <c r="Q123" s="344">
        <f>'По терминалам'!Q165</f>
        <v>0</v>
      </c>
      <c r="S123" s="4" t="s">
        <v>397</v>
      </c>
      <c r="T123" s="5" t="s">
        <v>398</v>
      </c>
      <c r="U123" s="5" t="s">
        <v>399</v>
      </c>
      <c r="V123" s="5" t="s">
        <v>400</v>
      </c>
      <c r="W123" s="6" t="s">
        <v>401</v>
      </c>
      <c r="Y123" s="173" t="str">
        <f>D123</f>
        <v>ЭГРУ ШТН</v>
      </c>
    </row>
    <row r="124">
      <c r="B124" s="103">
        <v>118</v>
      </c>
      <c r="C124" s="315"/>
      <c r="D124" s="326"/>
      <c r="E124" s="66" t="str">
        <f>'По терминалам'!E166</f>
        <v>В491</v>
      </c>
      <c r="F124" s="340"/>
      <c r="G124" s="66">
        <f>'По терминалам'!G166</f>
        <v>58</v>
      </c>
      <c r="H124" s="66">
        <f>'По терминалам'!H166</f>
        <v>14</v>
      </c>
      <c r="I124" s="66" t="str">
        <f>'По терминалам'!I166</f>
        <v>79C</v>
      </c>
      <c r="J124" s="66">
        <f>'По терминалам'!J166</f>
        <v>58</v>
      </c>
      <c r="K124" s="12">
        <f>'По терминалам'!K166</f>
        <v>0</v>
      </c>
      <c r="L124" s="66">
        <f>'По терминалам'!L166</f>
        <v>0</v>
      </c>
      <c r="M124" s="340">
        <f>'По терминалам'!M166</f>
        <v>0</v>
      </c>
      <c r="N124" s="340">
        <f>'По терминалам'!N166</f>
        <v>0</v>
      </c>
      <c r="O124" s="340">
        <f>'По терминалам'!O166</f>
        <v>0</v>
      </c>
      <c r="P124" s="340">
        <f>'По терминалам'!P166</f>
        <v>0</v>
      </c>
      <c r="Q124" s="345">
        <f>'По терминалам'!Q166</f>
        <v>0</v>
      </c>
      <c r="S124" s="8" t="s">
        <v>413</v>
      </c>
      <c r="T124" s="9"/>
      <c r="U124" s="9"/>
      <c r="V124" s="9"/>
      <c r="W124" s="10"/>
      <c r="Y124" s="173" t="str">
        <f>D123</f>
        <v>ЭГРУ ШТН</v>
      </c>
    </row>
    <row r="125">
      <c r="B125" s="103">
        <v>119</v>
      </c>
      <c r="C125" s="315"/>
      <c r="D125" s="326"/>
      <c r="E125" s="12" t="str">
        <f>'По терминалам'!E167</f>
        <v>С491</v>
      </c>
      <c r="F125" s="340"/>
      <c r="G125" s="66">
        <f>'По терминалам'!G167</f>
        <v>59</v>
      </c>
      <c r="H125" s="66">
        <f>'По терминалам'!H167</f>
        <v>14</v>
      </c>
      <c r="I125" s="66" t="str">
        <f>'По терминалам'!I167</f>
        <v>45L</v>
      </c>
      <c r="J125" s="66">
        <f>'По терминалам'!J167</f>
        <v>59</v>
      </c>
      <c r="K125" s="12">
        <f>'По терминалам'!K167</f>
        <v>0</v>
      </c>
      <c r="L125" s="66">
        <f>'По терминалам'!L167</f>
        <v>0</v>
      </c>
      <c r="M125" s="340">
        <f>'По терминалам'!M167</f>
        <v>0</v>
      </c>
      <c r="N125" s="340">
        <f>'По терминалам'!N167</f>
        <v>0</v>
      </c>
      <c r="O125" s="340">
        <f>'По терминалам'!O167</f>
        <v>0</v>
      </c>
      <c r="P125" s="340">
        <f>'По терминалам'!P167</f>
        <v>0</v>
      </c>
      <c r="Q125" s="345">
        <f>'По терминалам'!Q167</f>
        <v>0</v>
      </c>
      <c r="Y125" s="173" t="str">
        <f>D123</f>
        <v>ЭГРУ ШТН</v>
      </c>
    </row>
    <row r="126">
      <c r="B126" s="103">
        <v>120</v>
      </c>
      <c r="C126" s="315"/>
      <c r="D126" s="343"/>
      <c r="E126" s="28" t="str">
        <f>'По терминалам'!E168</f>
        <v>N491</v>
      </c>
      <c r="F126" s="341"/>
      <c r="G126" s="29">
        <f>'По терминалам'!G168</f>
        <v>60</v>
      </c>
      <c r="H126" s="29">
        <f>'По терминалам'!H168</f>
        <v>0</v>
      </c>
      <c r="I126" s="29">
        <f>'По терминалам'!I168</f>
        <v>0</v>
      </c>
      <c r="J126" s="29">
        <f>'По терминалам'!J168</f>
        <v>60</v>
      </c>
      <c r="K126" s="28">
        <f>'По терминалам'!K168</f>
        <v>0</v>
      </c>
      <c r="L126" s="29">
        <f>'По терминалам'!L168</f>
        <v>0</v>
      </c>
      <c r="M126" s="341">
        <f>'По терминалам'!M168</f>
        <v>0</v>
      </c>
      <c r="N126" s="341">
        <f>'По терминалам'!N168</f>
        <v>0</v>
      </c>
      <c r="O126" s="341">
        <f>'По терминалам'!O168</f>
        <v>0</v>
      </c>
      <c r="P126" s="341">
        <f>'По терминалам'!P168</f>
        <v>0</v>
      </c>
      <c r="Q126" s="346">
        <f>'По терминалам'!Q168</f>
        <v>0</v>
      </c>
      <c r="Y126" s="173" t="str">
        <f>D123</f>
        <v>ЭГРУ ШТН</v>
      </c>
    </row>
    <row r="127">
      <c r="B127" s="103">
        <v>121</v>
      </c>
      <c r="C127" s="315"/>
      <c r="D127" s="261" t="s">
        <v>274</v>
      </c>
      <c r="E127" s="65" t="str">
        <f>'По терминалам'!E117</f>
        <v>А491</v>
      </c>
      <c r="F127" s="261" t="s">
        <v>276</v>
      </c>
      <c r="G127" s="17">
        <f>'По терминалам'!G117</f>
        <v>46</v>
      </c>
      <c r="H127" s="65">
        <f>'По терминалам'!H117</f>
        <v>11</v>
      </c>
      <c r="I127" s="65" t="str">
        <f>'По терминалам'!I117</f>
        <v>162L</v>
      </c>
      <c r="J127" s="17">
        <f>'По терминалам'!J117</f>
        <v>47</v>
      </c>
      <c r="K127" s="65">
        <f>'По терминалам'!K117</f>
        <v>11</v>
      </c>
      <c r="L127" s="65" t="str">
        <f>'По терминалам'!L117</f>
        <v>163L</v>
      </c>
      <c r="M127" s="261" t="str">
        <f>'По терминалам'!M117</f>
        <v>SG1-1 SG31-3</v>
      </c>
      <c r="N127" s="17">
        <f>'По терминалам'!N117</f>
        <v>2</v>
      </c>
      <c r="O127" s="17">
        <f>'По терминалам'!O117</f>
        <v>4</v>
      </c>
      <c r="P127" s="65">
        <f>'По терминалам'!P117</f>
        <v>11</v>
      </c>
      <c r="Q127" s="67" t="str">
        <f>'По терминалам'!Q117</f>
        <v>163L</v>
      </c>
      <c r="Y127" s="173" t="str">
        <f>D127</f>
        <v>РЩГ-1 1НА15 средств измерений</v>
      </c>
    </row>
    <row r="128">
      <c r="B128" s="103">
        <v>122</v>
      </c>
      <c r="C128" s="315"/>
      <c r="D128" s="326"/>
      <c r="E128" s="66" t="str">
        <f>'По терминалам'!E118</f>
        <v>В491</v>
      </c>
      <c r="F128" s="326"/>
      <c r="G128" s="12">
        <f>'По терминалам'!G118</f>
        <v>49</v>
      </c>
      <c r="H128" s="66">
        <f>'По терминалам'!H118</f>
        <v>12</v>
      </c>
      <c r="I128" s="66" t="str">
        <f>'По терминалам'!I118</f>
        <v>77C</v>
      </c>
      <c r="J128" s="12">
        <f>'По терминалам'!J118</f>
        <v>50</v>
      </c>
      <c r="K128" s="66">
        <f>'По терминалам'!K118</f>
        <v>12</v>
      </c>
      <c r="L128" s="66" t="str">
        <f>'По терминалам'!L118</f>
        <v>78C</v>
      </c>
      <c r="M128" s="326">
        <f>'По терминалам'!M118</f>
        <v>0</v>
      </c>
      <c r="N128" s="12">
        <f>'По терминалам'!N118</f>
        <v>6</v>
      </c>
      <c r="O128" s="12">
        <f>'По терминалам'!O118</f>
        <v>8</v>
      </c>
      <c r="P128" s="66">
        <f>'По терминалам'!P118</f>
        <v>12</v>
      </c>
      <c r="Q128" s="68" t="str">
        <f>'По терминалам'!Q118</f>
        <v>77C</v>
      </c>
      <c r="Y128" s="173" t="str">
        <f>D127</f>
        <v>РЩГ-1 1НА15 средств измерений</v>
      </c>
    </row>
    <row r="129">
      <c r="B129" s="103">
        <v>123</v>
      </c>
      <c r="C129" s="315"/>
      <c r="D129" s="326"/>
      <c r="E129" s="12" t="str">
        <f>'По терминалам'!E119</f>
        <v>С491</v>
      </c>
      <c r="F129" s="326"/>
      <c r="G129" s="12">
        <f>'По терминалам'!G119</f>
        <v>52</v>
      </c>
      <c r="H129" s="66">
        <f>'По терминалам'!H119</f>
        <v>12</v>
      </c>
      <c r="I129" s="66" t="str">
        <f>'По терминалам'!I119</f>
        <v>45L</v>
      </c>
      <c r="J129" s="12">
        <f>'По терминалам'!J119</f>
        <v>53</v>
      </c>
      <c r="K129" s="66">
        <f>'По терминалам'!K119</f>
        <v>12</v>
      </c>
      <c r="L129" s="66" t="str">
        <f>'По терминалам'!L119</f>
        <v>45L</v>
      </c>
      <c r="M129" s="326">
        <f>'По терминалам'!M119</f>
        <v>0</v>
      </c>
      <c r="N129" s="12">
        <f>'По терминалам'!N119</f>
        <v>10</v>
      </c>
      <c r="O129" s="12">
        <f>'По терминалам'!O119</f>
        <v>12</v>
      </c>
      <c r="P129" s="66">
        <f>'По терминалам'!P119</f>
        <v>12</v>
      </c>
      <c r="Q129" s="68" t="str">
        <f>'По терминалам'!Q119</f>
        <v>45L</v>
      </c>
      <c r="Y129" s="173" t="str">
        <f>D127</f>
        <v>РЩГ-1 1НА15 средств измерений</v>
      </c>
    </row>
    <row r="130">
      <c r="B130" s="103">
        <v>124</v>
      </c>
      <c r="C130" s="315"/>
      <c r="D130" s="262"/>
      <c r="E130" s="13" t="str">
        <f>'По терминалам'!E120</f>
        <v>N491</v>
      </c>
      <c r="F130" s="262"/>
      <c r="G130" s="13">
        <f>'По терминалам'!G120</f>
        <v>58</v>
      </c>
      <c r="H130" s="63">
        <f>'По терминалам'!H120</f>
        <v>0</v>
      </c>
      <c r="I130" s="63">
        <f>'По терминалам'!I120</f>
        <v>0</v>
      </c>
      <c r="J130" s="13">
        <f>'По терминалам'!J120</f>
        <v>58</v>
      </c>
      <c r="K130" s="63">
        <f>'По терминалам'!K120</f>
        <v>0</v>
      </c>
      <c r="L130" s="63">
        <f>'По терминалам'!L120</f>
        <v>0</v>
      </c>
      <c r="M130" s="262">
        <f>'По терминалам'!M120</f>
        <v>0</v>
      </c>
      <c r="N130" s="342" t="str">
        <f>'По терминалам'!N120</f>
        <v>-</v>
      </c>
      <c r="O130" s="342">
        <f>'По терминалам'!O120</f>
        <v>0</v>
      </c>
      <c r="P130" s="342">
        <f>'По терминалам'!P120</f>
        <v>0</v>
      </c>
      <c r="Q130" s="347">
        <f>'По терминалам'!Q120</f>
        <v>0</v>
      </c>
      <c r="Y130" s="173" t="str">
        <f>D127</f>
        <v>РЩГ-1 1НА15 средств измерений</v>
      </c>
    </row>
    <row r="131">
      <c r="B131" s="103">
        <v>125</v>
      </c>
      <c r="C131" s="315"/>
      <c r="D131" s="261" t="s">
        <v>261</v>
      </c>
      <c r="E131" s="65" t="str">
        <f>'По терминалам'!E109</f>
        <v>А497-1Г</v>
      </c>
      <c r="F131" s="339" t="s">
        <v>263</v>
      </c>
      <c r="G131" s="17">
        <f>'По терминалам'!G109</f>
        <v>9</v>
      </c>
      <c r="H131" s="65">
        <f>'По терминалам'!H109</f>
        <v>11</v>
      </c>
      <c r="I131" s="65" t="str">
        <f>'По терминалам'!I109</f>
        <v>162L</v>
      </c>
      <c r="J131" s="17">
        <f>'По терминалам'!J109</f>
        <v>10</v>
      </c>
      <c r="K131" s="65">
        <f>'По терминалам'!K109</f>
        <v>11</v>
      </c>
      <c r="L131" s="65" t="str">
        <f>'По терминалам'!L109</f>
        <v>162L</v>
      </c>
      <c r="M131" s="261" t="str">
        <f>'По терминалам'!M109</f>
        <v>SG58-1 SG58-2</v>
      </c>
      <c r="N131" s="17">
        <f>'По терминалам'!N109</f>
        <v>2</v>
      </c>
      <c r="O131" s="17">
        <f>'По терминалам'!O109</f>
        <v>4</v>
      </c>
      <c r="P131" s="65">
        <f>'По терминалам'!P109</f>
        <v>11</v>
      </c>
      <c r="Q131" s="67" t="str">
        <f>'По терминалам'!Q109</f>
        <v>162L</v>
      </c>
      <c r="Y131" s="173" t="str">
        <f>D131</f>
        <v>РЩГ-1 1НА14 СОТИАССО</v>
      </c>
    </row>
    <row r="132">
      <c r="B132" s="103">
        <v>126</v>
      </c>
      <c r="C132" s="315"/>
      <c r="D132" s="326"/>
      <c r="E132" s="66" t="str">
        <f>'По терминалам'!E110</f>
        <v>В497-1Г</v>
      </c>
      <c r="F132" s="340"/>
      <c r="G132" s="12">
        <f>'По терминалам'!G110</f>
        <v>11</v>
      </c>
      <c r="H132" s="66">
        <f>'По терминалам'!H110</f>
        <v>12</v>
      </c>
      <c r="I132" s="66" t="str">
        <f>'По терминалам'!I110</f>
        <v>77C</v>
      </c>
      <c r="J132" s="12">
        <f>'По терминалам'!J110</f>
        <v>12</v>
      </c>
      <c r="K132" s="66">
        <f>'По терминалам'!K110</f>
        <v>12</v>
      </c>
      <c r="L132" s="66" t="str">
        <f>'По терминалам'!L110</f>
        <v>77C</v>
      </c>
      <c r="M132" s="326">
        <f>'По терминалам'!M110</f>
        <v>0</v>
      </c>
      <c r="N132" s="12">
        <f>'По терминалам'!N110</f>
        <v>6</v>
      </c>
      <c r="O132" s="12">
        <f>'По терминалам'!O110</f>
        <v>8</v>
      </c>
      <c r="P132" s="66">
        <f>'По терминалам'!P110</f>
        <v>12</v>
      </c>
      <c r="Q132" s="68" t="str">
        <f>'По терминалам'!Q110</f>
        <v>77C</v>
      </c>
      <c r="Y132" s="173" t="str">
        <f>D131</f>
        <v>РЩГ-1 1НА14 СОТИАССО</v>
      </c>
    </row>
    <row r="133">
      <c r="B133" s="103">
        <v>127</v>
      </c>
      <c r="C133" s="315"/>
      <c r="D133" s="326"/>
      <c r="E133" s="12" t="str">
        <f>'По терминалам'!E111</f>
        <v>С497-1Г</v>
      </c>
      <c r="F133" s="340"/>
      <c r="G133" s="12">
        <f>'По терминалам'!G111</f>
        <v>13</v>
      </c>
      <c r="H133" s="66">
        <f>'По терминалам'!H111</f>
        <v>12</v>
      </c>
      <c r="I133" s="66" t="str">
        <f>'По терминалам'!I111</f>
        <v>45L</v>
      </c>
      <c r="J133" s="12">
        <f>'По терминалам'!J111</f>
        <v>14</v>
      </c>
      <c r="K133" s="66">
        <f>'По терминалам'!K111</f>
        <v>13</v>
      </c>
      <c r="L133" s="66" t="str">
        <f>'По терминалам'!L111</f>
        <v>45L</v>
      </c>
      <c r="M133" s="326">
        <f>'По терминалам'!M111</f>
        <v>0</v>
      </c>
      <c r="N133" s="12">
        <f>'По терминалам'!N111</f>
        <v>10</v>
      </c>
      <c r="O133" s="12">
        <f>'По терминалам'!O111</f>
        <v>12</v>
      </c>
      <c r="P133" s="66">
        <f>'По терминалам'!P111</f>
        <v>12</v>
      </c>
      <c r="Q133" s="68" t="str">
        <f>'По терминалам'!Q111</f>
        <v>45L</v>
      </c>
      <c r="Y133" s="173" t="str">
        <f>D131</f>
        <v>РЩГ-1 1НА14 СОТИАССО</v>
      </c>
    </row>
    <row r="134">
      <c r="B134" s="103">
        <v>128</v>
      </c>
      <c r="C134" s="316"/>
      <c r="D134" s="262"/>
      <c r="E134" s="13" t="str">
        <f>'По терминалам'!E112</f>
        <v>N497-1Г</v>
      </c>
      <c r="F134" s="342"/>
      <c r="G134" s="13">
        <f>'По терминалам'!G112</f>
        <v>14</v>
      </c>
      <c r="H134" s="13">
        <f>'По терминалам'!H112</f>
        <v>0</v>
      </c>
      <c r="I134" s="63">
        <f>'По терминалам'!I112</f>
        <v>0</v>
      </c>
      <c r="J134" s="63">
        <f>'По терминалам'!J112</f>
        <v>0</v>
      </c>
      <c r="K134" s="63">
        <f>'По терминалам'!K112</f>
        <v>0</v>
      </c>
      <c r="L134" s="63">
        <f>'По терминалам'!L112</f>
        <v>0</v>
      </c>
      <c r="M134" s="262">
        <f>'По терминалам'!M112</f>
        <v>0</v>
      </c>
      <c r="N134" s="342" t="str">
        <f>'По терминалам'!N112</f>
        <v>-</v>
      </c>
      <c r="O134" s="342">
        <f>'По терминалам'!O112</f>
        <v>0</v>
      </c>
      <c r="P134" s="342">
        <f>'По терминалам'!P112</f>
        <v>0</v>
      </c>
      <c r="Q134" s="347">
        <f>'По терминалам'!Q112</f>
        <v>0</v>
      </c>
      <c r="Y134" s="173" t="str">
        <f>D131</f>
        <v>РЩГ-1 1НА14 СОТИАССО</v>
      </c>
    </row>
    <row r="135" ht="28.5">
      <c r="B135" s="103">
        <v>129</v>
      </c>
      <c r="C135" s="292" t="s">
        <v>268</v>
      </c>
      <c r="D135" s="286" t="s">
        <v>310</v>
      </c>
      <c r="E135" s="73" t="str">
        <f>'По терминалам'!E169</f>
        <v>А501</v>
      </c>
      <c r="F135" s="348" t="s">
        <v>114</v>
      </c>
      <c r="G135" s="348" t="str">
        <f>'По терминалам'!G169</f>
        <v>-</v>
      </c>
      <c r="H135" s="348">
        <f>'По терминалам'!H169</f>
        <v>0</v>
      </c>
      <c r="I135" s="348">
        <f>'По терминалам'!I169</f>
        <v>0</v>
      </c>
      <c r="J135" s="73">
        <f>'По терминалам'!J169</f>
        <v>65</v>
      </c>
      <c r="K135" s="73">
        <f>'По терминалам'!K169</f>
        <v>14</v>
      </c>
      <c r="L135" s="85" t="str">
        <f>'По терминалам'!L169</f>
        <v>164L</v>
      </c>
      <c r="M135" s="268" t="str">
        <f>'По терминалам'!M169</f>
        <v>Нет БИ</v>
      </c>
      <c r="N135" s="269">
        <f>'По терминалам'!N169</f>
        <v>0</v>
      </c>
      <c r="O135" s="269">
        <f>'По терминалам'!O169</f>
        <v>0</v>
      </c>
      <c r="P135" s="269">
        <f>'По терминалам'!P169</f>
        <v>0</v>
      </c>
      <c r="Q135" s="270">
        <f>'По терминалам'!Q169</f>
        <v>0</v>
      </c>
      <c r="S135" s="4" t="s">
        <v>397</v>
      </c>
      <c r="T135" s="5" t="s">
        <v>398</v>
      </c>
      <c r="U135" s="5" t="s">
        <v>399</v>
      </c>
      <c r="V135" s="5" t="s">
        <v>400</v>
      </c>
      <c r="W135" s="6" t="s">
        <v>401</v>
      </c>
      <c r="Y135" s="173" t="str">
        <f>D135</f>
        <v>ЭГРУ ШТН</v>
      </c>
    </row>
    <row r="136">
      <c r="B136" s="103">
        <v>130</v>
      </c>
      <c r="C136" s="293"/>
      <c r="D136" s="287"/>
      <c r="E136" s="74" t="str">
        <f>'По терминалам'!E170</f>
        <v>В501</v>
      </c>
      <c r="F136" s="349"/>
      <c r="G136" s="349">
        <f>'По терминалам'!G170</f>
        <v>0</v>
      </c>
      <c r="H136" s="349">
        <f>'По терминалам'!H170</f>
        <v>0</v>
      </c>
      <c r="I136" s="349">
        <f>'По терминалам'!I170</f>
        <v>0</v>
      </c>
      <c r="J136" s="74">
        <f>'По терминалам'!J170</f>
        <v>66</v>
      </c>
      <c r="K136" s="74">
        <f>'По терминалам'!K170</f>
        <v>14</v>
      </c>
      <c r="L136" s="86" t="str">
        <f>'По терминалам'!L170</f>
        <v>79C</v>
      </c>
      <c r="M136" s="271">
        <f>'По терминалам'!M170</f>
        <v>0</v>
      </c>
      <c r="N136" s="272">
        <f>'По терминалам'!N170</f>
        <v>0</v>
      </c>
      <c r="O136" s="272">
        <f>'По терминалам'!O170</f>
        <v>0</v>
      </c>
      <c r="P136" s="272">
        <f>'По терминалам'!P170</f>
        <v>0</v>
      </c>
      <c r="Q136" s="273">
        <f>'По терминалам'!Q170</f>
        <v>0</v>
      </c>
      <c r="S136" s="8" t="s">
        <v>414</v>
      </c>
      <c r="T136" s="9"/>
      <c r="U136" s="9"/>
      <c r="V136" s="9"/>
      <c r="W136" s="10"/>
      <c r="Y136" s="173" t="str">
        <f>D135</f>
        <v>ЭГРУ ШТН</v>
      </c>
    </row>
    <row r="137">
      <c r="B137" s="103">
        <v>131</v>
      </c>
      <c r="C137" s="293"/>
      <c r="D137" s="287"/>
      <c r="E137" s="74" t="str">
        <f>'По терминалам'!E171</f>
        <v>С501</v>
      </c>
      <c r="F137" s="349"/>
      <c r="G137" s="349">
        <f>'По терминалам'!G171</f>
        <v>0</v>
      </c>
      <c r="H137" s="349">
        <f>'По терминалам'!H171</f>
        <v>0</v>
      </c>
      <c r="I137" s="349">
        <f>'По терминалам'!I171</f>
        <v>0</v>
      </c>
      <c r="J137" s="74">
        <f>'По терминалам'!J171</f>
        <v>67</v>
      </c>
      <c r="K137" s="74">
        <f>'По терминалам'!K171</f>
        <v>14</v>
      </c>
      <c r="L137" s="86" t="str">
        <f>'По терминалам'!L171</f>
        <v>45L</v>
      </c>
      <c r="M137" s="271">
        <f>'По терминалам'!M171</f>
        <v>0</v>
      </c>
      <c r="N137" s="272">
        <f>'По терминалам'!N171</f>
        <v>0</v>
      </c>
      <c r="O137" s="272">
        <f>'По терминалам'!O171</f>
        <v>0</v>
      </c>
      <c r="P137" s="272">
        <f>'По терминалам'!P171</f>
        <v>0</v>
      </c>
      <c r="Q137" s="273">
        <f>'По терминалам'!Q171</f>
        <v>0</v>
      </c>
      <c r="Y137" s="173" t="str">
        <f>D135</f>
        <v>ЭГРУ ШТН</v>
      </c>
    </row>
    <row r="138">
      <c r="B138" s="103">
        <v>132</v>
      </c>
      <c r="C138" s="293"/>
      <c r="D138" s="288"/>
      <c r="E138" s="75" t="str">
        <f>'По терминалам'!E172</f>
        <v>N501</v>
      </c>
      <c r="F138" s="350"/>
      <c r="G138" s="350">
        <f>'По терминалам'!G172</f>
        <v>0</v>
      </c>
      <c r="H138" s="350">
        <f>'По терминалам'!H172</f>
        <v>0</v>
      </c>
      <c r="I138" s="350">
        <f>'По терминалам'!I172</f>
        <v>0</v>
      </c>
      <c r="J138" s="75">
        <f>'По терминалам'!J172</f>
        <v>68</v>
      </c>
      <c r="K138" s="75">
        <f>'По терминалам'!K172</f>
        <v>0</v>
      </c>
      <c r="L138" s="87" t="str">
        <f>'По терминалам'!L172</f>
        <v>-</v>
      </c>
      <c r="M138" s="274">
        <f>'По терминалам'!M172</f>
        <v>0</v>
      </c>
      <c r="N138" s="275">
        <f>'По терминалам'!N172</f>
        <v>0</v>
      </c>
      <c r="O138" s="275">
        <f>'По терминалам'!O172</f>
        <v>0</v>
      </c>
      <c r="P138" s="275">
        <f>'По терминалам'!P172</f>
        <v>0</v>
      </c>
      <c r="Q138" s="276">
        <f>'По терминалам'!Q172</f>
        <v>0</v>
      </c>
      <c r="Y138" s="173" t="str">
        <f>D135</f>
        <v>ЭГРУ ШТН</v>
      </c>
    </row>
    <row r="139">
      <c r="B139" s="103">
        <v>133</v>
      </c>
      <c r="C139" s="293"/>
      <c r="D139" s="286" t="s">
        <v>304</v>
      </c>
      <c r="E139" s="73" t="str">
        <f>'По терминалам'!E137</f>
        <v>А501</v>
      </c>
      <c r="F139" s="286" t="s">
        <v>276</v>
      </c>
      <c r="G139" s="73">
        <f>'По терминалам'!G137</f>
        <v>1</v>
      </c>
      <c r="H139" s="73">
        <f>'По терминалам'!H137</f>
        <v>14</v>
      </c>
      <c r="I139" s="73" t="str">
        <f>'По терминалам'!I137</f>
        <v>164L</v>
      </c>
      <c r="J139" s="73">
        <f>'По терминалам'!J137</f>
        <v>2</v>
      </c>
      <c r="K139" s="73">
        <f>'По терминалам'!K137</f>
        <v>14</v>
      </c>
      <c r="L139" s="85" t="str">
        <f>'По терминалам'!L137</f>
        <v>164L</v>
      </c>
      <c r="M139" s="268" t="str">
        <f>'По терминалам'!M137</f>
        <v>Нет БИ</v>
      </c>
      <c r="N139" s="269">
        <f>'По терминалам'!N137</f>
        <v>0</v>
      </c>
      <c r="O139" s="269">
        <f>'По терминалам'!O137</f>
        <v>0</v>
      </c>
      <c r="P139" s="269">
        <f>'По терминалам'!P137</f>
        <v>0</v>
      </c>
      <c r="Q139" s="270">
        <f>'По терминалам'!Q137</f>
        <v>0</v>
      </c>
      <c r="Y139" s="173" t="str">
        <f>D139</f>
        <v>ЭГРУ ШР</v>
      </c>
    </row>
    <row r="140">
      <c r="B140" s="103">
        <v>134</v>
      </c>
      <c r="C140" s="293"/>
      <c r="D140" s="287"/>
      <c r="E140" s="74" t="str">
        <f>'По терминалам'!E138</f>
        <v>В501</v>
      </c>
      <c r="F140" s="287"/>
      <c r="G140" s="74">
        <f>'По терминалам'!G138</f>
        <v>3</v>
      </c>
      <c r="H140" s="74">
        <f>'По терминалам'!H138</f>
        <v>14</v>
      </c>
      <c r="I140" s="74" t="str">
        <f>'По терминалам'!I138</f>
        <v>79C</v>
      </c>
      <c r="J140" s="74">
        <f>'По терминалам'!J138</f>
        <v>4</v>
      </c>
      <c r="K140" s="74">
        <f>'По терминалам'!K138</f>
        <v>14</v>
      </c>
      <c r="L140" s="86" t="str">
        <f>'По терминалам'!L138</f>
        <v>79C</v>
      </c>
      <c r="M140" s="271">
        <f>'По терминалам'!M138</f>
        <v>0</v>
      </c>
      <c r="N140" s="272">
        <f>'По терминалам'!N138</f>
        <v>0</v>
      </c>
      <c r="O140" s="272">
        <f>'По терминалам'!O138</f>
        <v>0</v>
      </c>
      <c r="P140" s="272">
        <f>'По терминалам'!P138</f>
        <v>0</v>
      </c>
      <c r="Q140" s="273">
        <f>'По терминалам'!Q138</f>
        <v>0</v>
      </c>
      <c r="Y140" s="173" t="str">
        <f>D139</f>
        <v>ЭГРУ ШР</v>
      </c>
    </row>
    <row r="141">
      <c r="B141" s="103">
        <v>135</v>
      </c>
      <c r="C141" s="293"/>
      <c r="D141" s="287"/>
      <c r="E141" s="74" t="str">
        <f>'По терминалам'!E139</f>
        <v>С501</v>
      </c>
      <c r="F141" s="287"/>
      <c r="G141" s="74">
        <f>'По терминалам'!G139</f>
        <v>5</v>
      </c>
      <c r="H141" s="74">
        <f>'По терминалам'!H139</f>
        <v>14</v>
      </c>
      <c r="I141" s="74" t="str">
        <f>'По терминалам'!I139</f>
        <v>45L</v>
      </c>
      <c r="J141" s="74">
        <f>'По терминалам'!J139</f>
        <v>6</v>
      </c>
      <c r="K141" s="74">
        <f>'По терминалам'!K139</f>
        <v>14</v>
      </c>
      <c r="L141" s="86" t="str">
        <f>'По терминалам'!L139</f>
        <v>45L</v>
      </c>
      <c r="M141" s="271">
        <f>'По терминалам'!M139</f>
        <v>0</v>
      </c>
      <c r="N141" s="272">
        <f>'По терминалам'!N139</f>
        <v>0</v>
      </c>
      <c r="O141" s="272">
        <f>'По терминалам'!O139</f>
        <v>0</v>
      </c>
      <c r="P141" s="272">
        <f>'По терминалам'!P139</f>
        <v>0</v>
      </c>
      <c r="Q141" s="273">
        <f>'По терминалам'!Q139</f>
        <v>0</v>
      </c>
      <c r="Y141" s="173" t="str">
        <f>D139</f>
        <v>ЭГРУ ШР</v>
      </c>
    </row>
    <row r="142">
      <c r="B142" s="103">
        <v>136</v>
      </c>
      <c r="C142" s="293"/>
      <c r="D142" s="355"/>
      <c r="E142" s="88" t="str">
        <f>'По терминалам'!E140</f>
        <v>N501</v>
      </c>
      <c r="F142" s="355"/>
      <c r="G142" s="88">
        <f>'По терминалам'!G140</f>
        <v>7</v>
      </c>
      <c r="H142" s="88">
        <f>'По терминалам'!H140</f>
        <v>0</v>
      </c>
      <c r="I142" s="89" t="str">
        <f>'По терминалам'!I140</f>
        <v>-</v>
      </c>
      <c r="J142" s="88">
        <f>'По терминалам'!J140</f>
        <v>8</v>
      </c>
      <c r="K142" s="88">
        <f>'По терминалам'!K140</f>
        <v>0</v>
      </c>
      <c r="L142" s="90" t="str">
        <f>'По терминалам'!L140</f>
        <v>-</v>
      </c>
      <c r="M142" s="274">
        <f>'По терминалам'!M140</f>
        <v>0</v>
      </c>
      <c r="N142" s="275">
        <f>'По терминалам'!N140</f>
        <v>0</v>
      </c>
      <c r="O142" s="275">
        <f>'По терминалам'!O140</f>
        <v>0</v>
      </c>
      <c r="P142" s="275">
        <f>'По терминалам'!P140</f>
        <v>0</v>
      </c>
      <c r="Q142" s="276">
        <f>'По терминалам'!Q140</f>
        <v>0</v>
      </c>
      <c r="Y142" s="173" t="str">
        <f>D139</f>
        <v>ЭГРУ ШР</v>
      </c>
    </row>
    <row r="143">
      <c r="B143" s="103">
        <v>137</v>
      </c>
      <c r="C143" s="293"/>
      <c r="D143" s="286" t="s">
        <v>274</v>
      </c>
      <c r="E143" s="73" t="str">
        <f>'По терминалам'!E121</f>
        <v>А502</v>
      </c>
      <c r="F143" s="286" t="s">
        <v>282</v>
      </c>
      <c r="G143" s="73">
        <f>'По терминалам'!G121</f>
        <v>64</v>
      </c>
      <c r="H143" s="73">
        <f>'По терминалам'!H121</f>
        <v>11</v>
      </c>
      <c r="I143" s="73" t="str">
        <f>'По терминалам'!I121</f>
        <v>164L</v>
      </c>
      <c r="J143" s="73">
        <f>'По терминалам'!J121</f>
        <v>77</v>
      </c>
      <c r="K143" s="73">
        <f>'По терминалам'!K121</f>
        <v>11</v>
      </c>
      <c r="L143" s="73" t="str">
        <f>'По терминалам'!L121</f>
        <v>171L</v>
      </c>
      <c r="M143" s="286" t="str">
        <f>'По терминалам'!M121</f>
        <v>SG3 SG2</v>
      </c>
      <c r="N143" s="73">
        <f>'По терминалам'!N121</f>
        <v>2</v>
      </c>
      <c r="O143" s="73">
        <f>'По терминалам'!O121</f>
        <v>4</v>
      </c>
      <c r="P143" s="73">
        <f>'По терминалам'!P121</f>
        <v>11</v>
      </c>
      <c r="Q143" s="76" t="str">
        <f>'По терминалам'!Q121</f>
        <v>165L</v>
      </c>
      <c r="Y143" s="173" t="str">
        <f>D143</f>
        <v>РЩГ-1 1НА15 средств измерений</v>
      </c>
    </row>
    <row r="144">
      <c r="B144" s="103">
        <v>138</v>
      </c>
      <c r="C144" s="293"/>
      <c r="D144" s="287"/>
      <c r="E144" s="74" t="str">
        <f>'По терминалам'!E122</f>
        <v>В502</v>
      </c>
      <c r="F144" s="287"/>
      <c r="G144" s="74">
        <f>'По терминалам'!G122</f>
        <v>65</v>
      </c>
      <c r="H144" s="74">
        <f>'По терминалам'!H122</f>
        <v>12</v>
      </c>
      <c r="I144" s="74" t="str">
        <f>'По терминалам'!I122</f>
        <v>77C</v>
      </c>
      <c r="J144" s="74">
        <f>'По терминалам'!J122</f>
        <v>78</v>
      </c>
      <c r="K144" s="74">
        <f>'По терминалам'!K122</f>
        <v>12</v>
      </c>
      <c r="L144" s="74" t="str">
        <f>'По терминалам'!L122</f>
        <v>77C</v>
      </c>
      <c r="M144" s="287">
        <f>'По терминалам'!M122</f>
        <v>0</v>
      </c>
      <c r="N144" s="74">
        <f>'По терминалам'!N122</f>
        <v>6</v>
      </c>
      <c r="O144" s="74">
        <f>'По терминалам'!O122</f>
        <v>8</v>
      </c>
      <c r="P144" s="74">
        <f>'По терминалам'!P122</f>
        <v>12</v>
      </c>
      <c r="Q144" s="77" t="str">
        <f>'По терминалам'!Q122</f>
        <v>77C</v>
      </c>
      <c r="Y144" s="173" t="str">
        <f>D143</f>
        <v>РЩГ-1 1НА15 средств измерений</v>
      </c>
    </row>
    <row r="145">
      <c r="B145" s="103">
        <v>139</v>
      </c>
      <c r="C145" s="293"/>
      <c r="D145" s="287"/>
      <c r="E145" s="74" t="str">
        <f>'По терминалам'!E123</f>
        <v>С502</v>
      </c>
      <c r="F145" s="287"/>
      <c r="G145" s="74">
        <f>'По терминалам'!G123</f>
        <v>66</v>
      </c>
      <c r="H145" s="74">
        <f>'По терминалам'!H123</f>
        <v>12</v>
      </c>
      <c r="I145" s="74" t="str">
        <f>'По терминалам'!I123</f>
        <v>45L</v>
      </c>
      <c r="J145" s="74">
        <f>'По терминалам'!J123</f>
        <v>79</v>
      </c>
      <c r="K145" s="74">
        <f>'По терминалам'!K123</f>
        <v>12</v>
      </c>
      <c r="L145" s="74" t="str">
        <f>'По терминалам'!L123</f>
        <v>40L</v>
      </c>
      <c r="M145" s="287">
        <f>'По терминалам'!M123</f>
        <v>0</v>
      </c>
      <c r="N145" s="74">
        <f>'По терминалам'!N123</f>
        <v>10</v>
      </c>
      <c r="O145" s="74">
        <f>'По терминалам'!O123</f>
        <v>12</v>
      </c>
      <c r="P145" s="74">
        <f>'По терминалам'!P123</f>
        <v>12</v>
      </c>
      <c r="Q145" s="77" t="str">
        <f>'По терминалам'!Q123</f>
        <v>40L</v>
      </c>
      <c r="Y145" s="173" t="str">
        <f>D143</f>
        <v>РЩГ-1 1НА15 средств измерений</v>
      </c>
    </row>
    <row r="146">
      <c r="B146" s="103">
        <v>140</v>
      </c>
      <c r="C146" s="293"/>
      <c r="D146" s="355"/>
      <c r="E146" s="88" t="str">
        <f>'По терминалам'!E124</f>
        <v>N502</v>
      </c>
      <c r="F146" s="355"/>
      <c r="G146" s="88">
        <f>'По терминалам'!G124</f>
        <v>67</v>
      </c>
      <c r="H146" s="88">
        <f>'По терминалам'!H124</f>
        <v>0</v>
      </c>
      <c r="I146" s="88" t="str">
        <f>'По терминалам'!I124</f>
        <v>-</v>
      </c>
      <c r="J146" s="88">
        <f>'По терминалам'!J124</f>
        <v>67</v>
      </c>
      <c r="K146" s="88">
        <f>'По терминалам'!K124</f>
        <v>0</v>
      </c>
      <c r="L146" s="88" t="str">
        <f>'По терминалам'!L124</f>
        <v>-</v>
      </c>
      <c r="M146" s="355">
        <f>'По терминалам'!M124</f>
        <v>0</v>
      </c>
      <c r="N146" s="354" t="str">
        <f>'По терминалам'!N124</f>
        <v>-</v>
      </c>
      <c r="O146" s="354">
        <f>'По терминалам'!O124</f>
        <v>0</v>
      </c>
      <c r="P146" s="354">
        <f>'По терминалам'!P124</f>
        <v>0</v>
      </c>
      <c r="Q146" s="356">
        <f>'По терминалам'!Q124</f>
        <v>0</v>
      </c>
      <c r="Y146" s="173" t="str">
        <f>D143</f>
        <v>РЩГ-1 1НА15 средств измерений</v>
      </c>
    </row>
    <row r="147">
      <c r="B147" s="103">
        <v>141</v>
      </c>
      <c r="C147" s="293"/>
      <c r="D147" s="286" t="s">
        <v>261</v>
      </c>
      <c r="E147" s="73" t="str">
        <f>'По терминалам'!E113</f>
        <v>А503</v>
      </c>
      <c r="F147" s="348" t="s">
        <v>105</v>
      </c>
      <c r="G147" s="73">
        <f>'По терминалам'!G113</f>
        <v>1</v>
      </c>
      <c r="H147" s="73">
        <f>'По терминалам'!H113</f>
        <v>11</v>
      </c>
      <c r="I147" s="73" t="str">
        <f>'По терминалам'!I113</f>
        <v>165L</v>
      </c>
      <c r="J147" s="73">
        <f>'По терминалам'!J113</f>
        <v>5</v>
      </c>
      <c r="K147" s="73">
        <f>'По терминалам'!K113</f>
        <v>11</v>
      </c>
      <c r="L147" s="73" t="str">
        <f>'По терминалам'!L113</f>
        <v>165L</v>
      </c>
      <c r="M147" s="286" t="str">
        <f>'По терминалам'!M113</f>
        <v>SG1.1</v>
      </c>
      <c r="N147" s="73">
        <f>'По терминалам'!N113</f>
        <v>2</v>
      </c>
      <c r="O147" s="73">
        <f>'По терминалам'!O113</f>
        <v>4</v>
      </c>
      <c r="P147" s="73">
        <f>'По терминалам'!P113</f>
        <v>11</v>
      </c>
      <c r="Q147" s="76" t="str">
        <f>'По терминалам'!Q113</f>
        <v>165L</v>
      </c>
      <c r="Y147" s="173" t="str">
        <f>D147</f>
        <v>РЩГ-1 1НА14 СОТИАССО</v>
      </c>
    </row>
    <row r="148">
      <c r="B148" s="103">
        <v>142</v>
      </c>
      <c r="C148" s="293"/>
      <c r="D148" s="287"/>
      <c r="E148" s="74" t="str">
        <f>'По терминалам'!E114</f>
        <v>В503</v>
      </c>
      <c r="F148" s="349"/>
      <c r="G148" s="74">
        <f>'По терминалам'!G114</f>
        <v>2</v>
      </c>
      <c r="H148" s="74">
        <f>'По терминалам'!H114</f>
        <v>12</v>
      </c>
      <c r="I148" s="74" t="str">
        <f>'По терминалам'!I114</f>
        <v>77C</v>
      </c>
      <c r="J148" s="74">
        <f>'По терминалам'!J114</f>
        <v>6</v>
      </c>
      <c r="K148" s="74">
        <f>'По терминалам'!K114</f>
        <v>12</v>
      </c>
      <c r="L148" s="74" t="str">
        <f>'По терминалам'!L114</f>
        <v>77C</v>
      </c>
      <c r="M148" s="287">
        <f>'По терминалам'!M114</f>
        <v>0</v>
      </c>
      <c r="N148" s="74">
        <f>'По терминалам'!N114</f>
        <v>6</v>
      </c>
      <c r="O148" s="74">
        <f>'По терминалам'!O114</f>
        <v>8</v>
      </c>
      <c r="P148" s="74">
        <f>'По терминалам'!P114</f>
        <v>12</v>
      </c>
      <c r="Q148" s="77" t="str">
        <f>'По терминалам'!Q114</f>
        <v>77C</v>
      </c>
      <c r="Y148" s="173" t="str">
        <f>D147</f>
        <v>РЩГ-1 1НА14 СОТИАССО</v>
      </c>
    </row>
    <row r="149">
      <c r="B149" s="103">
        <v>143</v>
      </c>
      <c r="C149" s="293"/>
      <c r="D149" s="287"/>
      <c r="E149" s="74" t="str">
        <f>'По терминалам'!E115</f>
        <v>С503</v>
      </c>
      <c r="F149" s="349"/>
      <c r="G149" s="74">
        <f>'По терминалам'!G115</f>
        <v>3</v>
      </c>
      <c r="H149" s="74">
        <f>'По терминалам'!H115</f>
        <v>12</v>
      </c>
      <c r="I149" s="74" t="str">
        <f>'По терминалам'!I115</f>
        <v>45L</v>
      </c>
      <c r="J149" s="74">
        <f>'По терминалам'!J115</f>
        <v>7</v>
      </c>
      <c r="K149" s="74">
        <f>'По терминалам'!K115</f>
        <v>12</v>
      </c>
      <c r="L149" s="74" t="str">
        <f>'По терминалам'!L115</f>
        <v>45L</v>
      </c>
      <c r="M149" s="287">
        <f>'По терминалам'!M115</f>
        <v>0</v>
      </c>
      <c r="N149" s="74">
        <f>'По терминалам'!N115</f>
        <v>10</v>
      </c>
      <c r="O149" s="74">
        <f>'По терминалам'!O115</f>
        <v>12</v>
      </c>
      <c r="P149" s="74">
        <f>'По терминалам'!P115</f>
        <v>12</v>
      </c>
      <c r="Q149" s="77" t="str">
        <f>'По терминалам'!Q115</f>
        <v>44L</v>
      </c>
      <c r="Y149" s="173" t="str">
        <f>D147</f>
        <v>РЩГ-1 1НА14 СОТИАССО</v>
      </c>
    </row>
    <row r="150">
      <c r="B150" s="103">
        <v>144</v>
      </c>
      <c r="C150" s="293"/>
      <c r="D150" s="355"/>
      <c r="E150" s="88" t="str">
        <f>'По терминалам'!E116</f>
        <v>N502</v>
      </c>
      <c r="F150" s="354"/>
      <c r="G150" s="88">
        <f>'По терминалам'!G116</f>
        <v>9</v>
      </c>
      <c r="H150" s="88">
        <f>'По терминалам'!H116</f>
        <v>0</v>
      </c>
      <c r="I150" s="88" t="str">
        <f>'По терминалам'!I116</f>
        <v>-</v>
      </c>
      <c r="J150" s="88">
        <f>'По терминалам'!J116</f>
        <v>10</v>
      </c>
      <c r="K150" s="88">
        <f>'По терминалам'!K116</f>
        <v>0</v>
      </c>
      <c r="L150" s="88" t="str">
        <f>'По терминалам'!L116</f>
        <v>-</v>
      </c>
      <c r="M150" s="355">
        <f>'По терминалам'!M116</f>
        <v>0</v>
      </c>
      <c r="N150" s="354" t="str">
        <f>'По терминалам'!N116</f>
        <v>-</v>
      </c>
      <c r="O150" s="354">
        <f>'По терминалам'!O116</f>
        <v>0</v>
      </c>
      <c r="P150" s="354">
        <f>'По терминалам'!P116</f>
        <v>0</v>
      </c>
      <c r="Q150" s="356">
        <f>'По терминалам'!Q116</f>
        <v>0</v>
      </c>
      <c r="Y150" s="173" t="str">
        <f>D147</f>
        <v>РЩГ-1 1НА14 СОТИАССО</v>
      </c>
    </row>
    <row r="151" ht="30">
      <c r="B151" s="103">
        <v>145</v>
      </c>
      <c r="C151" s="293"/>
      <c r="D151" s="286" t="s">
        <v>287</v>
      </c>
      <c r="E151" s="73" t="str">
        <f>'По терминалам'!E125</f>
        <v>А504</v>
      </c>
      <c r="F151" s="348">
        <v>2</v>
      </c>
      <c r="G151" s="73">
        <f>'По терминалам'!G125</f>
        <v>1</v>
      </c>
      <c r="H151" s="73">
        <f>'По терминалам'!H125</f>
        <v>11</v>
      </c>
      <c r="I151" s="91" t="str">
        <f>'По терминалам'!I125</f>
        <v>163L</v>
      </c>
      <c r="J151" s="348" t="str">
        <f>'По терминалам'!J125</f>
        <v>-</v>
      </c>
      <c r="K151" s="348">
        <f>'По терминалам'!K125</f>
        <v>0</v>
      </c>
      <c r="L151" s="348">
        <f>'По терминалам'!L125</f>
        <v>0</v>
      </c>
      <c r="M151" s="348" t="str">
        <f>'По терминалам'!M125</f>
        <v>Нет БИ</v>
      </c>
      <c r="N151" s="348">
        <f>'По терминалам'!N125</f>
        <v>0</v>
      </c>
      <c r="O151" s="348">
        <f>'По терминалам'!O125</f>
        <v>0</v>
      </c>
      <c r="P151" s="348">
        <f>'По терминалам'!P125</f>
        <v>0</v>
      </c>
      <c r="Q151" s="351">
        <f>'По терминалам'!Q125</f>
        <v>0</v>
      </c>
      <c r="Y151" s="173" t="str">
        <f>D151</f>
        <v>БЩУ Шкаф 1GG05</v>
      </c>
    </row>
    <row r="152">
      <c r="B152" s="103">
        <v>146</v>
      </c>
      <c r="C152" s="293"/>
      <c r="D152" s="287"/>
      <c r="E152" s="74" t="str">
        <f>'По терминалам'!E126</f>
        <v>В504</v>
      </c>
      <c r="F152" s="349"/>
      <c r="G152" s="74">
        <f>'По терминалам'!G126</f>
        <v>4</v>
      </c>
      <c r="H152" s="74">
        <f>'По терминалам'!H126</f>
        <v>12</v>
      </c>
      <c r="I152" s="92" t="str">
        <f>'По терминалам'!I126</f>
        <v>78C</v>
      </c>
      <c r="J152" s="349">
        <f>'По терминалам'!J126</f>
        <v>0</v>
      </c>
      <c r="K152" s="349">
        <f>'По терминалам'!K126</f>
        <v>0</v>
      </c>
      <c r="L152" s="349">
        <f>'По терминалам'!L126</f>
        <v>0</v>
      </c>
      <c r="M152" s="349">
        <f>'По терминалам'!M126</f>
        <v>0</v>
      </c>
      <c r="N152" s="349">
        <f>'По терминалам'!N126</f>
        <v>0</v>
      </c>
      <c r="O152" s="349">
        <f>'По терминалам'!O126</f>
        <v>0</v>
      </c>
      <c r="P152" s="349">
        <f>'По терминалам'!P126</f>
        <v>0</v>
      </c>
      <c r="Q152" s="352">
        <f>'По терминалам'!Q126</f>
        <v>0</v>
      </c>
      <c r="Y152" s="173" t="str">
        <f>D151</f>
        <v>БЩУ Шкаф 1GG05</v>
      </c>
    </row>
    <row r="153">
      <c r="B153" s="103">
        <v>147</v>
      </c>
      <c r="C153" s="293"/>
      <c r="D153" s="287"/>
      <c r="E153" s="74" t="str">
        <f>'По терминалам'!E127</f>
        <v>С504</v>
      </c>
      <c r="F153" s="349"/>
      <c r="G153" s="74">
        <f>'По терминалам'!G127</f>
        <v>7</v>
      </c>
      <c r="H153" s="74">
        <f>'По терминалам'!H127</f>
        <v>12</v>
      </c>
      <c r="I153" s="92" t="str">
        <f>'По терминалам'!I127</f>
        <v>45L</v>
      </c>
      <c r="J153" s="349">
        <f>'По терминалам'!J127</f>
        <v>0</v>
      </c>
      <c r="K153" s="349">
        <f>'По терминалам'!K127</f>
        <v>0</v>
      </c>
      <c r="L153" s="349">
        <f>'По терминалам'!L127</f>
        <v>0</v>
      </c>
      <c r="M153" s="349">
        <f>'По терминалам'!M127</f>
        <v>0</v>
      </c>
      <c r="N153" s="349">
        <f>'По терминалам'!N127</f>
        <v>0</v>
      </c>
      <c r="O153" s="349">
        <f>'По терминалам'!O127</f>
        <v>0</v>
      </c>
      <c r="P153" s="349">
        <f>'По терминалам'!P127</f>
        <v>0</v>
      </c>
      <c r="Q153" s="352">
        <f>'По терминалам'!Q127</f>
        <v>0</v>
      </c>
      <c r="Y153" s="173" t="str">
        <f>D151</f>
        <v>БЩУ Шкаф 1GG05</v>
      </c>
    </row>
    <row r="154">
      <c r="B154" s="103">
        <v>148</v>
      </c>
      <c r="C154" s="294"/>
      <c r="D154" s="288"/>
      <c r="E154" s="75" t="str">
        <f>'По терминалам'!E128</f>
        <v>N502</v>
      </c>
      <c r="F154" s="350"/>
      <c r="G154" s="75">
        <f>'По терминалам'!G128</f>
        <v>6</v>
      </c>
      <c r="H154" s="75">
        <f>'По терминалам'!H128</f>
        <v>0</v>
      </c>
      <c r="I154" s="93" t="str">
        <f>'По терминалам'!I128</f>
        <v>-</v>
      </c>
      <c r="J154" s="350">
        <f>'По терминалам'!J128</f>
        <v>0</v>
      </c>
      <c r="K154" s="350">
        <f>'По терминалам'!K128</f>
        <v>0</v>
      </c>
      <c r="L154" s="350">
        <f>'По терминалам'!L128</f>
        <v>0</v>
      </c>
      <c r="M154" s="350">
        <f>'По терминалам'!M128</f>
        <v>0</v>
      </c>
      <c r="N154" s="350">
        <f>'По терминалам'!N128</f>
        <v>0</v>
      </c>
      <c r="O154" s="350">
        <f>'По терминалам'!O128</f>
        <v>0</v>
      </c>
      <c r="P154" s="350">
        <f>'По терминалам'!P128</f>
        <v>0</v>
      </c>
      <c r="Q154" s="353">
        <f>'По терминалам'!Q128</f>
        <v>0</v>
      </c>
      <c r="Y154" s="173" t="str">
        <f>D151</f>
        <v>БЩУ Шкаф 1GG05</v>
      </c>
    </row>
    <row r="155" ht="28.5">
      <c r="B155" s="103">
        <v>149</v>
      </c>
      <c r="C155" s="323" t="s">
        <v>311</v>
      </c>
      <c r="D155" s="261" t="s">
        <v>316</v>
      </c>
      <c r="E155" s="65" t="str">
        <f>'По терминалам'!E177</f>
        <v>А511</v>
      </c>
      <c r="F155" s="339" t="s">
        <v>317</v>
      </c>
      <c r="G155" s="65">
        <f>'По терминалам'!G177</f>
        <v>0</v>
      </c>
      <c r="H155" s="65">
        <f>'По терминалам'!H177</f>
        <v>0</v>
      </c>
      <c r="I155" s="65">
        <f>'По терминалам'!I177</f>
        <v>0</v>
      </c>
      <c r="J155" s="65">
        <f>'По терминалам'!J177</f>
        <v>7</v>
      </c>
      <c r="K155" s="65">
        <f>'По терминалам'!K177</f>
        <v>30</v>
      </c>
      <c r="L155" s="65" t="str">
        <f>'По терминалам'!L177</f>
        <v>162L</v>
      </c>
      <c r="M155" s="339" t="str">
        <f>'По терминалам'!M177</f>
        <v>Нет БИ</v>
      </c>
      <c r="N155" s="339">
        <f>'По терминалам'!N177</f>
        <v>0</v>
      </c>
      <c r="O155" s="339">
        <f>'По терминалам'!O177</f>
        <v>0</v>
      </c>
      <c r="P155" s="339">
        <f>'По терминалам'!P177</f>
        <v>0</v>
      </c>
      <c r="Q155" s="344">
        <f>'По терминалам'!Q177</f>
        <v>0</v>
      </c>
      <c r="S155" s="4" t="s">
        <v>397</v>
      </c>
      <c r="T155" s="5" t="s">
        <v>398</v>
      </c>
      <c r="U155" s="5" t="s">
        <v>399</v>
      </c>
      <c r="V155" s="5" t="s">
        <v>400</v>
      </c>
      <c r="W155" s="6" t="s">
        <v>401</v>
      </c>
      <c r="Y155" s="173" t="str">
        <f>D155</f>
        <v>ЯПТН</v>
      </c>
    </row>
    <row r="156">
      <c r="B156" s="103">
        <v>150</v>
      </c>
      <c r="C156" s="324"/>
      <c r="D156" s="326"/>
      <c r="E156" s="66" t="str">
        <f>'По терминалам'!E178</f>
        <v>В511</v>
      </c>
      <c r="F156" s="340"/>
      <c r="G156" s="66">
        <f>'По терминалам'!G178</f>
        <v>0</v>
      </c>
      <c r="H156" s="66">
        <f>'По терминалам'!H178</f>
        <v>0</v>
      </c>
      <c r="I156" s="66">
        <f>'По терминалам'!I178</f>
        <v>0</v>
      </c>
      <c r="J156" s="66">
        <f>'По терминалам'!J178</f>
        <v>9</v>
      </c>
      <c r="K156" s="66">
        <f>'По терминалам'!K178</f>
        <v>32</v>
      </c>
      <c r="L156" s="66" t="str">
        <f>'По терминалам'!L178</f>
        <v>78C</v>
      </c>
      <c r="M156" s="340">
        <f>'По терминалам'!M178</f>
        <v>0</v>
      </c>
      <c r="N156" s="340">
        <f>'По терминалам'!N178</f>
        <v>0</v>
      </c>
      <c r="O156" s="340">
        <f>'По терминалам'!O178</f>
        <v>0</v>
      </c>
      <c r="P156" s="340">
        <f>'По терминалам'!P178</f>
        <v>0</v>
      </c>
      <c r="Q156" s="345">
        <f>'По терминалам'!Q178</f>
        <v>0</v>
      </c>
      <c r="S156" s="8" t="s">
        <v>415</v>
      </c>
      <c r="T156" s="9"/>
      <c r="U156" s="9"/>
      <c r="V156" s="9"/>
      <c r="W156" s="10"/>
      <c r="Y156" s="173" t="str">
        <f>D155</f>
        <v>ЯПТН</v>
      </c>
    </row>
    <row r="157">
      <c r="B157" s="103">
        <v>151</v>
      </c>
      <c r="C157" s="324"/>
      <c r="D157" s="326"/>
      <c r="E157" s="12" t="str">
        <f>'По терминалам'!E179</f>
        <v>С511</v>
      </c>
      <c r="F157" s="340"/>
      <c r="G157" s="66">
        <f>'По терминалам'!G179</f>
        <v>0</v>
      </c>
      <c r="H157" s="66">
        <f>'По терминалам'!H179</f>
        <v>0</v>
      </c>
      <c r="I157" s="66">
        <f>'По терминалам'!I179</f>
        <v>0</v>
      </c>
      <c r="J157" s="66">
        <f>'По терминалам'!J179</f>
        <v>11</v>
      </c>
      <c r="K157" s="66">
        <f>'По терминалам'!K179</f>
        <v>31</v>
      </c>
      <c r="L157" s="66" t="str">
        <f>'По терминалам'!L179</f>
        <v>43L</v>
      </c>
      <c r="M157" s="340">
        <f>'По терминалам'!M179</f>
        <v>0</v>
      </c>
      <c r="N157" s="340">
        <f>'По терминалам'!N179</f>
        <v>0</v>
      </c>
      <c r="O157" s="340">
        <f>'По терминалам'!O179</f>
        <v>0</v>
      </c>
      <c r="P157" s="340">
        <f>'По терминалам'!P179</f>
        <v>0</v>
      </c>
      <c r="Q157" s="345">
        <f>'По терминалам'!Q179</f>
        <v>0</v>
      </c>
      <c r="Y157" s="173" t="str">
        <f>D155</f>
        <v>ЯПТН</v>
      </c>
    </row>
    <row r="158">
      <c r="B158" s="103">
        <v>152</v>
      </c>
      <c r="C158" s="324"/>
      <c r="D158" s="343"/>
      <c r="E158" s="28" t="str">
        <f>'По терминалам'!E180</f>
        <v>N511</v>
      </c>
      <c r="F158" s="341"/>
      <c r="G158" s="29">
        <f>'По терминалам'!G180</f>
        <v>0</v>
      </c>
      <c r="H158" s="29">
        <f>'По терминалам'!H180</f>
        <v>0</v>
      </c>
      <c r="I158" s="29">
        <f>'По терминалам'!I180</f>
        <v>0</v>
      </c>
      <c r="J158" s="29">
        <f>'По терминалам'!J180</f>
        <v>12</v>
      </c>
      <c r="K158" s="29">
        <f>'По терминалам'!K180</f>
        <v>0</v>
      </c>
      <c r="L158" s="29" t="str">
        <f>'По терминалам'!L180</f>
        <v>-</v>
      </c>
      <c r="M158" s="341">
        <f>'По терминалам'!M180</f>
        <v>0</v>
      </c>
      <c r="N158" s="341">
        <f>'По терминалам'!N180</f>
        <v>0</v>
      </c>
      <c r="O158" s="341">
        <f>'По терминалам'!O180</f>
        <v>0</v>
      </c>
      <c r="P158" s="341">
        <f>'По терминалам'!P180</f>
        <v>0</v>
      </c>
      <c r="Q158" s="346">
        <f>'По терминалам'!Q180</f>
        <v>0</v>
      </c>
      <c r="Y158" s="173" t="str">
        <f>D155</f>
        <v>ЯПТН</v>
      </c>
    </row>
    <row r="159">
      <c r="B159" s="103">
        <v>153</v>
      </c>
      <c r="C159" s="324"/>
      <c r="D159" s="261" t="s">
        <v>310</v>
      </c>
      <c r="E159" s="65" t="str">
        <f>'По терминалам'!E173</f>
        <v>А511</v>
      </c>
      <c r="F159" s="261" t="s">
        <v>276</v>
      </c>
      <c r="G159" s="17">
        <f>'По терминалам'!G173</f>
        <v>73</v>
      </c>
      <c r="H159" s="65">
        <f>'По терминалам'!H173</f>
        <v>0</v>
      </c>
      <c r="I159" s="69">
        <f>'По терминалам'!I173</f>
        <v>0</v>
      </c>
      <c r="J159" s="17">
        <f>'По терминалам'!J173</f>
        <v>81</v>
      </c>
      <c r="K159" s="17">
        <f>'По терминалам'!K173</f>
        <v>30</v>
      </c>
      <c r="L159" s="65" t="str">
        <f>'По терминалам'!L173</f>
        <v>162L</v>
      </c>
      <c r="M159" s="339" t="str">
        <f>'По терминалам'!M173</f>
        <v>Нет БИ</v>
      </c>
      <c r="N159" s="339">
        <f>'По терминалам'!N173</f>
        <v>0</v>
      </c>
      <c r="O159" s="339">
        <f>'По терминалам'!O173</f>
        <v>0</v>
      </c>
      <c r="P159" s="339">
        <f>'По терминалам'!P173</f>
        <v>0</v>
      </c>
      <c r="Q159" s="344">
        <f>'По терминалам'!Q173</f>
        <v>0</v>
      </c>
      <c r="Y159" s="173" t="str">
        <f>D159</f>
        <v>ЭГРУ ШТН</v>
      </c>
    </row>
    <row r="160">
      <c r="B160" s="103">
        <v>154</v>
      </c>
      <c r="C160" s="324"/>
      <c r="D160" s="326"/>
      <c r="E160" s="66" t="str">
        <f>'По терминалам'!E174</f>
        <v>В511</v>
      </c>
      <c r="F160" s="326"/>
      <c r="G160" s="12">
        <f>'По терминалам'!G174</f>
        <v>74</v>
      </c>
      <c r="H160" s="66">
        <f>'По терминалам'!H174</f>
        <v>0</v>
      </c>
      <c r="I160" s="70">
        <f>'По терминалам'!I174</f>
        <v>0</v>
      </c>
      <c r="J160" s="12">
        <f>'По терминалам'!J174</f>
        <v>82</v>
      </c>
      <c r="K160" s="12">
        <f>'По терминалам'!K174</f>
        <v>30</v>
      </c>
      <c r="L160" s="66" t="str">
        <f>'По терминалам'!L174</f>
        <v>79C</v>
      </c>
      <c r="M160" s="340">
        <f>'По терминалам'!M174</f>
        <v>0</v>
      </c>
      <c r="N160" s="340">
        <f>'По терминалам'!N174</f>
        <v>0</v>
      </c>
      <c r="O160" s="340">
        <f>'По терминалам'!O174</f>
        <v>0</v>
      </c>
      <c r="P160" s="340">
        <f>'По терминалам'!P174</f>
        <v>0</v>
      </c>
      <c r="Q160" s="345">
        <f>'По терминалам'!Q174</f>
        <v>0</v>
      </c>
      <c r="Y160" s="173" t="str">
        <f>D159</f>
        <v>ЭГРУ ШТН</v>
      </c>
    </row>
    <row r="161">
      <c r="B161" s="103">
        <v>155</v>
      </c>
      <c r="C161" s="324"/>
      <c r="D161" s="326"/>
      <c r="E161" s="12" t="str">
        <f>'По терминалам'!E175</f>
        <v>С511</v>
      </c>
      <c r="F161" s="326"/>
      <c r="G161" s="12">
        <f>'По терминалам'!G175</f>
        <v>75</v>
      </c>
      <c r="H161" s="66">
        <f>'По терминалам'!H175</f>
        <v>0</v>
      </c>
      <c r="I161" s="70">
        <f>'По терминалам'!I175</f>
        <v>0</v>
      </c>
      <c r="J161" s="12">
        <f>'По терминалам'!J175</f>
        <v>83</v>
      </c>
      <c r="K161" s="12">
        <f>'По терминалам'!K175</f>
        <v>30</v>
      </c>
      <c r="L161" s="66" t="str">
        <f>'По терминалам'!L175</f>
        <v>43L</v>
      </c>
      <c r="M161" s="340">
        <f>'По терминалам'!M175</f>
        <v>0</v>
      </c>
      <c r="N161" s="340">
        <f>'По терминалам'!N175</f>
        <v>0</v>
      </c>
      <c r="O161" s="340">
        <f>'По терминалам'!O175</f>
        <v>0</v>
      </c>
      <c r="P161" s="340">
        <f>'По терминалам'!P175</f>
        <v>0</v>
      </c>
      <c r="Q161" s="345">
        <f>'По терминалам'!Q175</f>
        <v>0</v>
      </c>
      <c r="Y161" s="173" t="str">
        <f>D159</f>
        <v>ЭГРУ ШТН</v>
      </c>
    </row>
    <row r="162">
      <c r="B162" s="103">
        <v>156</v>
      </c>
      <c r="C162" s="325"/>
      <c r="D162" s="343"/>
      <c r="E162" s="28" t="str">
        <f>'По терминалам'!E176</f>
        <v>N511</v>
      </c>
      <c r="F162" s="343"/>
      <c r="G162" s="28">
        <f>'По терминалам'!G176</f>
        <v>76</v>
      </c>
      <c r="H162" s="29">
        <f>'По терминалам'!H176</f>
        <v>0</v>
      </c>
      <c r="I162" s="30">
        <f>'По терминалам'!I176</f>
        <v>0</v>
      </c>
      <c r="J162" s="28">
        <f>'По терминалам'!J176</f>
        <v>84</v>
      </c>
      <c r="K162" s="29">
        <f>'По терминалам'!K176</f>
        <v>0</v>
      </c>
      <c r="L162" s="29">
        <f>'По терминалам'!L176</f>
        <v>0</v>
      </c>
      <c r="M162" s="341">
        <f>'По терминалам'!M176</f>
        <v>0</v>
      </c>
      <c r="N162" s="341">
        <f>'По терминалам'!N176</f>
        <v>0</v>
      </c>
      <c r="O162" s="341">
        <f>'По терминалам'!O176</f>
        <v>0</v>
      </c>
      <c r="P162" s="341">
        <f>'По терминалам'!P176</f>
        <v>0</v>
      </c>
      <c r="Q162" s="346">
        <f>'По терминалам'!Q176</f>
        <v>0</v>
      </c>
      <c r="Y162" s="173" t="str">
        <f>D159</f>
        <v>ЭГРУ ШТН</v>
      </c>
    </row>
    <row r="163" ht="28.5">
      <c r="B163" s="103">
        <v>161</v>
      </c>
      <c r="C163" s="292" t="s">
        <v>149</v>
      </c>
      <c r="D163" s="286" t="s">
        <v>316</v>
      </c>
      <c r="E163" s="73" t="str">
        <f>'По терминалам'!E181</f>
        <v>А521.1</v>
      </c>
      <c r="F163" s="348" t="s">
        <v>319</v>
      </c>
      <c r="G163" s="348" t="str">
        <f>'По терминалам'!G181</f>
        <v>-</v>
      </c>
      <c r="H163" s="348">
        <f>'По терминалам'!H181</f>
        <v>0</v>
      </c>
      <c r="I163" s="348">
        <f>'По терминалам'!I181</f>
        <v>0</v>
      </c>
      <c r="J163" s="73">
        <f>'По терминалам'!J181</f>
        <v>1</v>
      </c>
      <c r="K163" s="73">
        <f>'По терминалам'!K181</f>
        <v>32</v>
      </c>
      <c r="L163" s="73" t="str">
        <f>'По терминалам'!L181</f>
        <v>166L</v>
      </c>
      <c r="M163" s="348" t="str">
        <f>'По терминалам'!M181</f>
        <v>Нет БИ</v>
      </c>
      <c r="N163" s="348">
        <f>'По терминалам'!N181</f>
        <v>0</v>
      </c>
      <c r="O163" s="348">
        <f>'По терминалам'!O181</f>
        <v>0</v>
      </c>
      <c r="P163" s="348">
        <f>'По терминалам'!P181</f>
        <v>0</v>
      </c>
      <c r="Q163" s="351">
        <f>'По терминалам'!Q181</f>
        <v>0</v>
      </c>
      <c r="S163" s="4" t="s">
        <v>397</v>
      </c>
      <c r="T163" s="5" t="s">
        <v>398</v>
      </c>
      <c r="U163" s="5" t="s">
        <v>399</v>
      </c>
      <c r="V163" s="5" t="s">
        <v>400</v>
      </c>
      <c r="W163" s="6" t="s">
        <v>401</v>
      </c>
      <c r="Y163" s="173" t="str">
        <f>D163</f>
        <v>ЯПТН</v>
      </c>
    </row>
    <row r="164">
      <c r="B164" s="103">
        <v>162</v>
      </c>
      <c r="C164" s="293"/>
      <c r="D164" s="287"/>
      <c r="E164" s="74" t="str">
        <f>'По терминалам'!E182</f>
        <v>В521.1</v>
      </c>
      <c r="F164" s="349"/>
      <c r="G164" s="349">
        <f>'По терминалам'!G182</f>
        <v>0</v>
      </c>
      <c r="H164" s="349">
        <f>'По терминалам'!H182</f>
        <v>0</v>
      </c>
      <c r="I164" s="349">
        <f>'По терминалам'!I182</f>
        <v>0</v>
      </c>
      <c r="J164" s="74">
        <f>'По терминалам'!J182</f>
        <v>3</v>
      </c>
      <c r="K164" s="74">
        <f>'По терминалам'!K182</f>
        <v>35</v>
      </c>
      <c r="L164" s="74" t="str">
        <f>'По терминалам'!L182</f>
        <v>77C</v>
      </c>
      <c r="M164" s="349">
        <f>'По терминалам'!M182</f>
        <v>0</v>
      </c>
      <c r="N164" s="349">
        <f>'По терминалам'!N182</f>
        <v>0</v>
      </c>
      <c r="O164" s="349">
        <f>'По терминалам'!O182</f>
        <v>0</v>
      </c>
      <c r="P164" s="349">
        <f>'По терминалам'!P182</f>
        <v>0</v>
      </c>
      <c r="Q164" s="352">
        <f>'По терминалам'!Q182</f>
        <v>0</v>
      </c>
      <c r="S164" s="8" t="s">
        <v>416</v>
      </c>
      <c r="T164" s="9" t="s">
        <v>417</v>
      </c>
      <c r="U164" s="9"/>
      <c r="V164" s="9"/>
      <c r="W164" s="10"/>
      <c r="Y164" s="173" t="str">
        <f>D163</f>
        <v>ЯПТН</v>
      </c>
    </row>
    <row r="165">
      <c r="B165" s="103">
        <v>163</v>
      </c>
      <c r="C165" s="293"/>
      <c r="D165" s="287"/>
      <c r="E165" s="74" t="str">
        <f>'По терминалам'!E183</f>
        <v>С521.1</v>
      </c>
      <c r="F165" s="349"/>
      <c r="G165" s="349">
        <f>'По терминалам'!G183</f>
        <v>0</v>
      </c>
      <c r="H165" s="349">
        <f>'По терминалам'!H183</f>
        <v>0</v>
      </c>
      <c r="I165" s="349">
        <f>'По терминалам'!I183</f>
        <v>0</v>
      </c>
      <c r="J165" s="74">
        <f>'По терминалам'!J183</f>
        <v>5</v>
      </c>
      <c r="K165" s="74">
        <f>'По терминалам'!K183</f>
        <v>31</v>
      </c>
      <c r="L165" s="74" t="str">
        <f>'По терминалам'!L183</f>
        <v>40L</v>
      </c>
      <c r="M165" s="349">
        <f>'По терминалам'!M183</f>
        <v>0</v>
      </c>
      <c r="N165" s="349">
        <f>'По терминалам'!N183</f>
        <v>0</v>
      </c>
      <c r="O165" s="349">
        <f>'По терминалам'!O183</f>
        <v>0</v>
      </c>
      <c r="P165" s="349">
        <f>'По терминалам'!P183</f>
        <v>0</v>
      </c>
      <c r="Q165" s="352">
        <f>'По терминалам'!Q183</f>
        <v>0</v>
      </c>
      <c r="Y165" s="173" t="str">
        <f>D163</f>
        <v>ЯПТН</v>
      </c>
    </row>
    <row r="166">
      <c r="B166" s="103">
        <v>164</v>
      </c>
      <c r="C166" s="293"/>
      <c r="D166" s="355"/>
      <c r="E166" s="88" t="str">
        <f>'По терминалам'!E184</f>
        <v>N521.1</v>
      </c>
      <c r="F166" s="354"/>
      <c r="G166" s="354">
        <f>'По терминалам'!G184</f>
        <v>0</v>
      </c>
      <c r="H166" s="354">
        <f>'По терминалам'!H184</f>
        <v>0</v>
      </c>
      <c r="I166" s="354">
        <f>'По терминалам'!I184</f>
        <v>0</v>
      </c>
      <c r="J166" s="88">
        <f>'По терминалам'!J184</f>
        <v>6</v>
      </c>
      <c r="K166" s="88">
        <f>'По терминалам'!K184</f>
        <v>0</v>
      </c>
      <c r="L166" s="88" t="str">
        <f>'По терминалам'!L184</f>
        <v>-</v>
      </c>
      <c r="M166" s="354">
        <f>'По терминалам'!M184</f>
        <v>0</v>
      </c>
      <c r="N166" s="354">
        <f>'По терминалам'!N184</f>
        <v>0</v>
      </c>
      <c r="O166" s="354">
        <f>'По терминалам'!O184</f>
        <v>0</v>
      </c>
      <c r="P166" s="354">
        <f>'По терминалам'!P184</f>
        <v>0</v>
      </c>
      <c r="Q166" s="356">
        <f>'По терминалам'!Q184</f>
        <v>0</v>
      </c>
      <c r="Y166" s="173" t="str">
        <f>D163</f>
        <v>ЯПТН</v>
      </c>
    </row>
    <row r="167">
      <c r="B167" s="103">
        <v>165</v>
      </c>
      <c r="C167" s="293"/>
      <c r="D167" s="286" t="s">
        <v>142</v>
      </c>
      <c r="E167" s="73" t="str">
        <f>'По терминалам'!E29</f>
        <v>А521.1</v>
      </c>
      <c r="F167" s="348" t="s">
        <v>114</v>
      </c>
      <c r="G167" s="73">
        <f>'По терминалам'!G29</f>
        <v>128</v>
      </c>
      <c r="H167" s="73">
        <f>'По терминалам'!H29</f>
        <v>31</v>
      </c>
      <c r="I167" s="73" t="str">
        <f>'По терминалам'!I29</f>
        <v>166L</v>
      </c>
      <c r="J167" s="73">
        <f>'По терминалам'!J29</f>
        <v>132</v>
      </c>
      <c r="K167" s="73">
        <f>'По терминалам'!K29</f>
        <v>32</v>
      </c>
      <c r="L167" s="73" t="str">
        <f>'По терминалам'!L29</f>
        <v>162L</v>
      </c>
      <c r="M167" s="348" t="str">
        <f>'По терминалам'!M29</f>
        <v>SG4</v>
      </c>
      <c r="N167" s="73">
        <f>'По терминалам'!N29</f>
        <v>2</v>
      </c>
      <c r="O167" s="73">
        <f>'По терминалам'!O29</f>
        <v>4</v>
      </c>
      <c r="P167" s="73">
        <f>'По терминалам'!P29</f>
        <v>32</v>
      </c>
      <c r="Q167" s="76" t="str">
        <f>'По терминалам'!Q29</f>
        <v>164L</v>
      </c>
      <c r="Y167" s="173" t="str">
        <f>D167</f>
        <v>РЩГ-1 1НА02 защиты 1Г 2к</v>
      </c>
    </row>
    <row r="168">
      <c r="B168" s="103">
        <v>166</v>
      </c>
      <c r="C168" s="293"/>
      <c r="D168" s="287"/>
      <c r="E168" s="74" t="str">
        <f>'По терминалам'!E30</f>
        <v>В521.1</v>
      </c>
      <c r="F168" s="349"/>
      <c r="G168" s="74">
        <f>'По терминалам'!G30</f>
        <v>129</v>
      </c>
      <c r="H168" s="74">
        <f>'По терминалам'!H30</f>
        <v>31</v>
      </c>
      <c r="I168" s="74" t="str">
        <f>'По терминалам'!I30</f>
        <v>77C</v>
      </c>
      <c r="J168" s="74">
        <f>'По терминалам'!J30</f>
        <v>133</v>
      </c>
      <c r="K168" s="74">
        <f>'По терминалам'!K30</f>
        <v>35</v>
      </c>
      <c r="L168" s="74" t="str">
        <f>'По терминалам'!L30</f>
        <v>77C</v>
      </c>
      <c r="M168" s="349">
        <f>'По терминалам'!M30</f>
        <v>0</v>
      </c>
      <c r="N168" s="74">
        <f>'По терминалам'!N30</f>
        <v>6</v>
      </c>
      <c r="O168" s="74">
        <f>'По терминалам'!O30</f>
        <v>8</v>
      </c>
      <c r="P168" s="74">
        <f>'По терминалам'!P30</f>
        <v>33</v>
      </c>
      <c r="Q168" s="77" t="str">
        <f>'По терминалам'!Q30</f>
        <v>78C</v>
      </c>
      <c r="Y168" s="173" t="str">
        <f>D167</f>
        <v>РЩГ-1 1НА02 защиты 1Г 2к</v>
      </c>
    </row>
    <row r="169">
      <c r="B169" s="103">
        <v>167</v>
      </c>
      <c r="C169" s="293"/>
      <c r="D169" s="287"/>
      <c r="E169" s="74" t="str">
        <f>'По терминалам'!E31</f>
        <v>С521.1</v>
      </c>
      <c r="F169" s="349"/>
      <c r="G169" s="74">
        <f>'По терминалам'!G31</f>
        <v>130</v>
      </c>
      <c r="H169" s="74">
        <f>'По терминалам'!H31</f>
        <v>31</v>
      </c>
      <c r="I169" s="74" t="str">
        <f>'По терминалам'!I31</f>
        <v>40L</v>
      </c>
      <c r="J169" s="74">
        <f>'По терминалам'!J31</f>
        <v>134</v>
      </c>
      <c r="K169" s="74">
        <f>'По терминалам'!K31</f>
        <v>31</v>
      </c>
      <c r="L169" s="74" t="str">
        <f>'По терминалам'!L31</f>
        <v>41L</v>
      </c>
      <c r="M169" s="349">
        <f>'По терминалам'!M31</f>
        <v>0</v>
      </c>
      <c r="N169" s="74">
        <f>'По терминалам'!N31</f>
        <v>10</v>
      </c>
      <c r="O169" s="74">
        <f>'По терминалам'!O31</f>
        <v>12</v>
      </c>
      <c r="P169" s="74">
        <f>'По терминалам'!P31</f>
        <v>33</v>
      </c>
      <c r="Q169" s="77" t="str">
        <f>'По терминалам'!Q31</f>
        <v>45L</v>
      </c>
      <c r="Y169" s="173" t="str">
        <f>D167</f>
        <v>РЩГ-1 1НА02 защиты 1Г 2к</v>
      </c>
    </row>
    <row r="170">
      <c r="B170" s="103">
        <v>168</v>
      </c>
      <c r="C170" s="293"/>
      <c r="D170" s="355"/>
      <c r="E170" s="88" t="str">
        <f>'По терминалам'!E32</f>
        <v>N521.1</v>
      </c>
      <c r="F170" s="354"/>
      <c r="G170" s="88">
        <f>'По терминалам'!G32</f>
        <v>131</v>
      </c>
      <c r="H170" s="88">
        <f>'По терминалам'!H32</f>
        <v>0</v>
      </c>
      <c r="I170" s="88" t="str">
        <f>'По терминалам'!I32</f>
        <v>-</v>
      </c>
      <c r="J170" s="88">
        <f>'По терминалам'!J32</f>
        <v>135</v>
      </c>
      <c r="K170" s="88">
        <f>'По терминалам'!K32</f>
        <v>0</v>
      </c>
      <c r="L170" s="88">
        <f>'По терминалам'!L32</f>
        <v>0</v>
      </c>
      <c r="M170" s="354" t="str">
        <f>'По терминалам'!M32</f>
        <v>-</v>
      </c>
      <c r="N170" s="354">
        <f>'По терминалам'!N32</f>
        <v>0</v>
      </c>
      <c r="O170" s="354">
        <f>'По терминалам'!O32</f>
        <v>0</v>
      </c>
      <c r="P170" s="354">
        <f>'По терминалам'!P32</f>
        <v>0</v>
      </c>
      <c r="Q170" s="356">
        <f>'По терминалам'!Q32</f>
        <v>0</v>
      </c>
      <c r="Y170" s="173" t="str">
        <f>D167</f>
        <v>РЩГ-1 1НА02 защиты 1Г 2к</v>
      </c>
    </row>
    <row r="171">
      <c r="B171" s="103">
        <v>169</v>
      </c>
      <c r="C171" s="293"/>
      <c r="D171" s="286" t="s">
        <v>226</v>
      </c>
      <c r="E171" s="73" t="str">
        <f>'По терминалам'!E95</f>
        <v>А522.1</v>
      </c>
      <c r="F171" s="348" t="s">
        <v>114</v>
      </c>
      <c r="G171" s="73">
        <f>'По терминалам'!G95</f>
        <v>164</v>
      </c>
      <c r="H171" s="73">
        <f>'По терминалам'!H95</f>
        <v>28</v>
      </c>
      <c r="I171" s="73" t="str">
        <f>'По терминалам'!I95</f>
        <v>164L</v>
      </c>
      <c r="J171" s="348" t="str">
        <f>'По терминалам'!J95</f>
        <v>-</v>
      </c>
      <c r="K171" s="348">
        <f>'По терминалам'!K95</f>
        <v>0</v>
      </c>
      <c r="L171" s="348">
        <f>'По терминалам'!L95</f>
        <v>0</v>
      </c>
      <c r="M171" s="348" t="str">
        <f>'По терминалам'!M95</f>
        <v>SG11</v>
      </c>
      <c r="N171" s="73">
        <f>'По терминалам'!N95</f>
        <v>2</v>
      </c>
      <c r="O171" s="73">
        <f>'По терминалам'!O95</f>
        <v>4</v>
      </c>
      <c r="P171" s="73">
        <f>'По терминалам'!P95</f>
        <v>31</v>
      </c>
      <c r="Q171" s="76" t="str">
        <f>'По терминалам'!Q95</f>
        <v>164L</v>
      </c>
      <c r="Y171" s="173" t="str">
        <f>D171</f>
        <v>РЩГ-1 1НА05 защиты 1Т 2к</v>
      </c>
    </row>
    <row r="172">
      <c r="B172" s="103">
        <v>170</v>
      </c>
      <c r="C172" s="293"/>
      <c r="D172" s="287"/>
      <c r="E172" s="74" t="str">
        <f>'По терминалам'!E96</f>
        <v>В522.1</v>
      </c>
      <c r="F172" s="349"/>
      <c r="G172" s="74">
        <f>'По терминалам'!G96</f>
        <v>165</v>
      </c>
      <c r="H172" s="74">
        <f>'По терминалам'!H96</f>
        <v>29</v>
      </c>
      <c r="I172" s="74" t="str">
        <f>'По терминалам'!I96</f>
        <v>78C</v>
      </c>
      <c r="J172" s="349">
        <f>'По терминалам'!J96</f>
        <v>0</v>
      </c>
      <c r="K172" s="349">
        <f>'По терминалам'!K96</f>
        <v>0</v>
      </c>
      <c r="L172" s="349">
        <f>'По терминалам'!L96</f>
        <v>0</v>
      </c>
      <c r="M172" s="349">
        <f>'По терминалам'!M96</f>
        <v>0</v>
      </c>
      <c r="N172" s="74">
        <f>'По терминалам'!N96</f>
        <v>6</v>
      </c>
      <c r="O172" s="74">
        <f>'По терминалам'!O96</f>
        <v>8</v>
      </c>
      <c r="P172" s="74">
        <f>'По терминалам'!P96</f>
        <v>29</v>
      </c>
      <c r="Q172" s="77" t="str">
        <f>'По терминалам'!Q96</f>
        <v>78C</v>
      </c>
      <c r="Y172" s="173" t="str">
        <f>D171</f>
        <v>РЩГ-1 1НА05 защиты 1Т 2к</v>
      </c>
    </row>
    <row r="173">
      <c r="B173" s="103">
        <v>171</v>
      </c>
      <c r="C173" s="293"/>
      <c r="D173" s="287"/>
      <c r="E173" s="74" t="str">
        <f>'По терминалам'!E97</f>
        <v>С522.1</v>
      </c>
      <c r="F173" s="349"/>
      <c r="G173" s="74">
        <f>'По терминалам'!G97</f>
        <v>166</v>
      </c>
      <c r="H173" s="74">
        <f>'По терминалам'!H97</f>
        <v>29</v>
      </c>
      <c r="I173" s="74" t="str">
        <f>'По терминалам'!I97</f>
        <v>44L</v>
      </c>
      <c r="J173" s="349">
        <f>'По терминалам'!J97</f>
        <v>0</v>
      </c>
      <c r="K173" s="349">
        <f>'По терминалам'!K97</f>
        <v>0</v>
      </c>
      <c r="L173" s="349">
        <f>'По терминалам'!L97</f>
        <v>0</v>
      </c>
      <c r="M173" s="349">
        <f>'По терминалам'!M97</f>
        <v>0</v>
      </c>
      <c r="N173" s="74">
        <f>'По терминалам'!N97</f>
        <v>10</v>
      </c>
      <c r="O173" s="74">
        <f>'По терминалам'!O97</f>
        <v>12</v>
      </c>
      <c r="P173" s="74">
        <f>'По терминалам'!P97</f>
        <v>30</v>
      </c>
      <c r="Q173" s="77" t="str">
        <f>'По терминалам'!Q97</f>
        <v>44L</v>
      </c>
      <c r="Y173" s="173" t="str">
        <f>D171</f>
        <v>РЩГ-1 1НА05 защиты 1Т 2к</v>
      </c>
    </row>
    <row r="174">
      <c r="B174" s="103">
        <v>172</v>
      </c>
      <c r="C174" s="294"/>
      <c r="D174" s="288"/>
      <c r="E174" s="75" t="str">
        <f>'По терминалам'!E98</f>
        <v>N522.1</v>
      </c>
      <c r="F174" s="350"/>
      <c r="G174" s="75">
        <f>'По терминалам'!G98</f>
        <v>167</v>
      </c>
      <c r="H174" s="75">
        <f>'По терминалам'!H98</f>
        <v>0</v>
      </c>
      <c r="I174" s="75" t="str">
        <f>'По терминалам'!I98</f>
        <v>-</v>
      </c>
      <c r="J174" s="350">
        <f>'По терминалам'!J98</f>
        <v>0</v>
      </c>
      <c r="K174" s="350">
        <f>'По терминалам'!K98</f>
        <v>0</v>
      </c>
      <c r="L174" s="350">
        <f>'По терминалам'!L98</f>
        <v>0</v>
      </c>
      <c r="M174" s="350" t="str">
        <f>'По терминалам'!M98</f>
        <v>-</v>
      </c>
      <c r="N174" s="350">
        <f>'По терминалам'!N98</f>
        <v>0</v>
      </c>
      <c r="O174" s="350">
        <f>'По терминалам'!O98</f>
        <v>0</v>
      </c>
      <c r="P174" s="350">
        <f>'По терминалам'!P98</f>
        <v>0</v>
      </c>
      <c r="Q174" s="353">
        <f>'По терминалам'!Q98</f>
        <v>0</v>
      </c>
      <c r="Y174" s="173" t="str">
        <f>D171</f>
        <v>РЩГ-1 1НА05 защиты 1Т 2к</v>
      </c>
    </row>
    <row r="175" ht="28.5">
      <c r="B175" s="103">
        <v>173</v>
      </c>
      <c r="C175" s="314" t="s">
        <v>120</v>
      </c>
      <c r="D175" s="261" t="s">
        <v>316</v>
      </c>
      <c r="E175" s="65" t="str">
        <f>'По терминалам'!E185</f>
        <v>А531.1</v>
      </c>
      <c r="F175" s="339" t="s">
        <v>320</v>
      </c>
      <c r="G175" s="339" t="str">
        <f>'По терминалам'!G185</f>
        <v>-</v>
      </c>
      <c r="H175" s="339">
        <f>'По терминалам'!H185</f>
        <v>0</v>
      </c>
      <c r="I175" s="339">
        <f>'По терминалам'!I185</f>
        <v>0</v>
      </c>
      <c r="J175" s="65">
        <f>'По терминалам'!J185</f>
        <v>1</v>
      </c>
      <c r="K175" s="65">
        <f>'По терминалам'!K185</f>
        <v>32</v>
      </c>
      <c r="L175" s="65" t="str">
        <f>'По терминалам'!L185</f>
        <v>168L</v>
      </c>
      <c r="M175" s="339" t="str">
        <f>'По терминалам'!M185</f>
        <v>Нет БИ</v>
      </c>
      <c r="N175" s="339">
        <f>'По терминалам'!N185</f>
        <v>0</v>
      </c>
      <c r="O175" s="339">
        <f>'По терминалам'!O185</f>
        <v>0</v>
      </c>
      <c r="P175" s="339">
        <f>'По терминалам'!P185</f>
        <v>0</v>
      </c>
      <c r="Q175" s="344">
        <f>'По терминалам'!Q185</f>
        <v>0</v>
      </c>
      <c r="S175" s="4" t="s">
        <v>397</v>
      </c>
      <c r="T175" s="5" t="s">
        <v>398</v>
      </c>
      <c r="U175" s="5" t="s">
        <v>399</v>
      </c>
      <c r="V175" s="5" t="s">
        <v>400</v>
      </c>
      <c r="W175" s="6" t="s">
        <v>401</v>
      </c>
      <c r="Y175" s="173" t="str">
        <f>D175</f>
        <v>ЯПТН</v>
      </c>
    </row>
    <row r="176">
      <c r="B176" s="103">
        <v>174</v>
      </c>
      <c r="C176" s="315"/>
      <c r="D176" s="326"/>
      <c r="E176" s="66" t="str">
        <f>'По терминалам'!E186</f>
        <v>В531.1</v>
      </c>
      <c r="F176" s="340"/>
      <c r="G176" s="340">
        <f>'По терминалам'!G186</f>
        <v>0</v>
      </c>
      <c r="H176" s="340">
        <f>'По терминалам'!H186</f>
        <v>0</v>
      </c>
      <c r="I176" s="340">
        <f>'По терминалам'!I186</f>
        <v>0</v>
      </c>
      <c r="J176" s="66">
        <f>'По терминалам'!J186</f>
        <v>3</v>
      </c>
      <c r="K176" s="66">
        <f>'По терминалам'!K186</f>
        <v>33</v>
      </c>
      <c r="L176" s="66" t="str">
        <f>'По терминалам'!L186</f>
        <v>77C</v>
      </c>
      <c r="M176" s="340">
        <f>'По терминалам'!M186</f>
        <v>0</v>
      </c>
      <c r="N176" s="340">
        <f>'По терминалам'!N186</f>
        <v>0</v>
      </c>
      <c r="O176" s="340">
        <f>'По терминалам'!O186</f>
        <v>0</v>
      </c>
      <c r="P176" s="340">
        <f>'По терминалам'!P186</f>
        <v>0</v>
      </c>
      <c r="Q176" s="345">
        <f>'По терминалам'!Q186</f>
        <v>0</v>
      </c>
      <c r="S176" s="8" t="s">
        <v>418</v>
      </c>
      <c r="T176" s="9"/>
      <c r="U176" s="9"/>
      <c r="V176" s="9"/>
      <c r="W176" s="10"/>
      <c r="Y176" s="173" t="str">
        <f>D175</f>
        <v>ЯПТН</v>
      </c>
    </row>
    <row r="177">
      <c r="B177" s="103">
        <v>175</v>
      </c>
      <c r="C177" s="315"/>
      <c r="D177" s="326"/>
      <c r="E177" s="12" t="str">
        <f>'По терминалам'!E187</f>
        <v>С531.1</v>
      </c>
      <c r="F177" s="340"/>
      <c r="G177" s="340">
        <f>'По терминалам'!G187</f>
        <v>0</v>
      </c>
      <c r="H177" s="340">
        <f>'По терминалам'!H187</f>
        <v>0</v>
      </c>
      <c r="I177" s="340">
        <f>'По терминалам'!I187</f>
        <v>0</v>
      </c>
      <c r="J177" s="66">
        <f>'По терминалам'!J187</f>
        <v>5</v>
      </c>
      <c r="K177" s="66">
        <f>'По терминалам'!K187</f>
        <v>32</v>
      </c>
      <c r="L177" s="66" t="str">
        <f>'По терминалам'!L187</f>
        <v>41L</v>
      </c>
      <c r="M177" s="340">
        <f>'По терминалам'!M187</f>
        <v>0</v>
      </c>
      <c r="N177" s="340">
        <f>'По терминалам'!N187</f>
        <v>0</v>
      </c>
      <c r="O177" s="340">
        <f>'По терминалам'!O187</f>
        <v>0</v>
      </c>
      <c r="P177" s="340">
        <f>'По терминалам'!P187</f>
        <v>0</v>
      </c>
      <c r="Q177" s="345">
        <f>'По терминалам'!Q187</f>
        <v>0</v>
      </c>
      <c r="Y177" s="173" t="str">
        <f>D175</f>
        <v>ЯПТН</v>
      </c>
    </row>
    <row r="178">
      <c r="B178" s="103">
        <v>176</v>
      </c>
      <c r="C178" s="315"/>
      <c r="D178" s="343"/>
      <c r="E178" s="28" t="str">
        <f>'По терминалам'!E188</f>
        <v>N531.1</v>
      </c>
      <c r="F178" s="341"/>
      <c r="G178" s="341">
        <f>'По терминалам'!G188</f>
        <v>0</v>
      </c>
      <c r="H178" s="341">
        <f>'По терминалам'!H188</f>
        <v>0</v>
      </c>
      <c r="I178" s="341">
        <f>'По терминалам'!I188</f>
        <v>0</v>
      </c>
      <c r="J178" s="29">
        <f>'По терминалам'!J188</f>
        <v>6</v>
      </c>
      <c r="K178" s="28">
        <f>'По терминалам'!K188</f>
        <v>0</v>
      </c>
      <c r="L178" s="29" t="str">
        <f>'По терминалам'!L188</f>
        <v>-</v>
      </c>
      <c r="M178" s="341">
        <f>'По терминалам'!M188</f>
        <v>0</v>
      </c>
      <c r="N178" s="341">
        <f>'По терминалам'!N188</f>
        <v>0</v>
      </c>
      <c r="O178" s="341">
        <f>'По терминалам'!O188</f>
        <v>0</v>
      </c>
      <c r="P178" s="341">
        <f>'По терминалам'!P188</f>
        <v>0</v>
      </c>
      <c r="Q178" s="346">
        <f>'По терминалам'!Q188</f>
        <v>0</v>
      </c>
      <c r="Y178" s="173" t="str">
        <f>D175</f>
        <v>ЯПТН</v>
      </c>
    </row>
    <row r="179">
      <c r="B179" s="103">
        <v>177</v>
      </c>
      <c r="C179" s="315"/>
      <c r="D179" s="261" t="s">
        <v>113</v>
      </c>
      <c r="E179" s="65" t="str">
        <f>'По терминалам'!E15</f>
        <v>А531.1</v>
      </c>
      <c r="F179" s="339" t="s">
        <v>114</v>
      </c>
      <c r="G179" s="17">
        <f>'По терминалам'!G15</f>
        <v>128</v>
      </c>
      <c r="H179" s="65">
        <f>'По терминалам'!H15</f>
        <v>32</v>
      </c>
      <c r="I179" s="65" t="str">
        <f>'По терминалам'!I15</f>
        <v>165L</v>
      </c>
      <c r="J179" s="17">
        <f>'По терминалам'!J15</f>
        <v>132</v>
      </c>
      <c r="K179" s="65">
        <f>'По терминалам'!K15</f>
        <v>31</v>
      </c>
      <c r="L179" s="65" t="str">
        <f>'По терминалам'!L15</f>
        <v>168L</v>
      </c>
      <c r="M179" s="339" t="str">
        <f>'По терминалам'!M15</f>
        <v>SG4</v>
      </c>
      <c r="N179" s="17">
        <f>'По терминалам'!N15</f>
        <v>2</v>
      </c>
      <c r="O179" s="17">
        <f>'По терминалам'!O15</f>
        <v>4</v>
      </c>
      <c r="P179" s="65">
        <f>'По терминалам'!P15</f>
        <v>32</v>
      </c>
      <c r="Q179" s="67" t="str">
        <f>'По терминалам'!Q15</f>
        <v>163L</v>
      </c>
      <c r="Y179" s="173" t="str">
        <f>D179</f>
        <v>РЩГ-1 1НА01 защиты 1Г 1к</v>
      </c>
    </row>
    <row r="180">
      <c r="B180" s="103">
        <v>178</v>
      </c>
      <c r="C180" s="315"/>
      <c r="D180" s="326"/>
      <c r="E180" s="66" t="str">
        <f>'По терминалам'!E16</f>
        <v>В531.1</v>
      </c>
      <c r="F180" s="340"/>
      <c r="G180" s="12">
        <f>'По терминалам'!G16</f>
        <v>129</v>
      </c>
      <c r="H180" s="66">
        <f>'По терминалам'!H16</f>
        <v>34</v>
      </c>
      <c r="I180" s="66" t="str">
        <f>'По терминалам'!I16</f>
        <v>77C</v>
      </c>
      <c r="J180" s="12">
        <f>'По терминалам'!J16</f>
        <v>133</v>
      </c>
      <c r="K180" s="66">
        <f>'По терминалам'!K16</f>
        <v>34</v>
      </c>
      <c r="L180" s="66" t="str">
        <f>'По терминалам'!L16</f>
        <v>77C</v>
      </c>
      <c r="M180" s="340">
        <f>'По терминалам'!M16</f>
        <v>0</v>
      </c>
      <c r="N180" s="12">
        <f>'По терминалам'!N16</f>
        <v>6</v>
      </c>
      <c r="O180" s="12">
        <f>'По терминалам'!O16</f>
        <v>8</v>
      </c>
      <c r="P180" s="66">
        <f>'По терминалам'!P16</f>
        <v>33</v>
      </c>
      <c r="Q180" s="68" t="str">
        <f>'По терминалам'!Q16</f>
        <v>77C</v>
      </c>
      <c r="Y180" s="173" t="str">
        <f>D179</f>
        <v>РЩГ-1 1НА01 защиты 1Г 1к</v>
      </c>
    </row>
    <row r="181">
      <c r="B181" s="103">
        <v>179</v>
      </c>
      <c r="C181" s="315"/>
      <c r="D181" s="326"/>
      <c r="E181" s="12" t="str">
        <f>'По терминалам'!E17</f>
        <v>С531.1</v>
      </c>
      <c r="F181" s="340"/>
      <c r="G181" s="12">
        <f>'По терминалам'!G17</f>
        <v>130</v>
      </c>
      <c r="H181" s="66">
        <f>'По терминалам'!H17</f>
        <v>31</v>
      </c>
      <c r="I181" s="66" t="str">
        <f>'По терминалам'!I17</f>
        <v>41L</v>
      </c>
      <c r="J181" s="12">
        <f>'По терминалам'!J17</f>
        <v>134</v>
      </c>
      <c r="K181" s="66">
        <f>'По терминалам'!K17</f>
        <v>31</v>
      </c>
      <c r="L181" s="66" t="str">
        <f>'По терминалам'!L17</f>
        <v>41L</v>
      </c>
      <c r="M181" s="340">
        <f>'По терминалам'!M17</f>
        <v>0</v>
      </c>
      <c r="N181" s="12">
        <f>'По терминалам'!N17</f>
        <v>10</v>
      </c>
      <c r="O181" s="12">
        <f>'По терминалам'!O17</f>
        <v>12</v>
      </c>
      <c r="P181" s="66">
        <f>'По терминалам'!P17</f>
        <v>33</v>
      </c>
      <c r="Q181" s="68" t="str">
        <f>'По терминалам'!Q17</f>
        <v>45L</v>
      </c>
      <c r="Y181" s="173" t="str">
        <f>D179</f>
        <v>РЩГ-1 1НА01 защиты 1Г 1к</v>
      </c>
    </row>
    <row r="182">
      <c r="B182" s="103">
        <v>180</v>
      </c>
      <c r="C182" s="315"/>
      <c r="D182" s="343"/>
      <c r="E182" s="28" t="str">
        <f>'По терминалам'!E18</f>
        <v>N531.1</v>
      </c>
      <c r="F182" s="341"/>
      <c r="G182" s="28">
        <f>'По терминалам'!G18</f>
        <v>131</v>
      </c>
      <c r="H182" s="29">
        <f>'По терминалам'!H18</f>
        <v>1</v>
      </c>
      <c r="I182" s="29" t="str">
        <f>'По терминалам'!I18</f>
        <v>-</v>
      </c>
      <c r="J182" s="28">
        <f>'По терминалам'!J18</f>
        <v>135</v>
      </c>
      <c r="K182" s="29">
        <f>'По терминалам'!K18</f>
        <v>0</v>
      </c>
      <c r="L182" s="29">
        <f>'По терминалам'!L18</f>
        <v>0</v>
      </c>
      <c r="M182" s="341" t="str">
        <f>'По терминалам'!M18</f>
        <v>-</v>
      </c>
      <c r="N182" s="341">
        <f>'По терминалам'!N18</f>
        <v>0</v>
      </c>
      <c r="O182" s="341">
        <f>'По терминалам'!O18</f>
        <v>0</v>
      </c>
      <c r="P182" s="341">
        <f>'По терминалам'!P18</f>
        <v>0</v>
      </c>
      <c r="Q182" s="346">
        <f>'По терминалам'!Q18</f>
        <v>0</v>
      </c>
      <c r="Y182" s="173" t="str">
        <f>D179</f>
        <v>РЩГ-1 1НА01 защиты 1Г 1к</v>
      </c>
    </row>
    <row r="183">
      <c r="B183" s="103">
        <v>181</v>
      </c>
      <c r="C183" s="315"/>
      <c r="D183" s="261" t="s">
        <v>164</v>
      </c>
      <c r="E183" s="65" t="str">
        <f>'По терминалам'!E63</f>
        <v>А532.1</v>
      </c>
      <c r="F183" s="339" t="s">
        <v>114</v>
      </c>
      <c r="G183" s="17">
        <f>'По терминалам'!G63</f>
        <v>164</v>
      </c>
      <c r="H183" s="65">
        <f>'По терминалам'!H63</f>
        <v>32</v>
      </c>
      <c r="I183" s="65" t="str">
        <f>'По терминалам'!I63</f>
        <v>163L</v>
      </c>
      <c r="J183" s="339" t="str">
        <f>'По терминалам'!J63</f>
        <v>-</v>
      </c>
      <c r="K183" s="339">
        <f>'По терминалам'!K63</f>
        <v>0</v>
      </c>
      <c r="L183" s="339">
        <f>'По терминалам'!L63</f>
        <v>0</v>
      </c>
      <c r="M183" s="339" t="str">
        <f>'По терминалам'!M63</f>
        <v>SG11</v>
      </c>
      <c r="N183" s="17">
        <f>'По терминалам'!N63</f>
        <v>2</v>
      </c>
      <c r="O183" s="17">
        <f>'По терминалам'!O63</f>
        <v>4</v>
      </c>
      <c r="P183" s="65">
        <f>'По терминалам'!P63</f>
        <v>32</v>
      </c>
      <c r="Q183" s="67" t="str">
        <f>'По терминалам'!Q63</f>
        <v>163L</v>
      </c>
      <c r="Y183" s="173" t="str">
        <f>D183</f>
        <v>РЩГ-1 1НА04 защиты 1Т 1к</v>
      </c>
    </row>
    <row r="184">
      <c r="B184" s="103">
        <v>182</v>
      </c>
      <c r="C184" s="315"/>
      <c r="D184" s="326"/>
      <c r="E184" s="66" t="str">
        <f>'По терминалам'!E64</f>
        <v>В532.1</v>
      </c>
      <c r="F184" s="340"/>
      <c r="G184" s="12">
        <f>'По терминалам'!G64</f>
        <v>165</v>
      </c>
      <c r="H184" s="66">
        <f>'По терминалам'!H64</f>
        <v>33</v>
      </c>
      <c r="I184" s="66" t="str">
        <f>'По терминалам'!I64</f>
        <v>77C</v>
      </c>
      <c r="J184" s="340">
        <f>'По терминалам'!J64</f>
        <v>0</v>
      </c>
      <c r="K184" s="340">
        <f>'По терминалам'!K64</f>
        <v>0</v>
      </c>
      <c r="L184" s="340">
        <f>'По терминалам'!L64</f>
        <v>0</v>
      </c>
      <c r="M184" s="340">
        <f>'По терминалам'!M64</f>
        <v>0</v>
      </c>
      <c r="N184" s="12">
        <f>'По терминалам'!N64</f>
        <v>6</v>
      </c>
      <c r="O184" s="12">
        <f>'По терминалам'!O64</f>
        <v>8</v>
      </c>
      <c r="P184" s="66">
        <f>'По терминалам'!P64</f>
        <v>33</v>
      </c>
      <c r="Q184" s="68" t="str">
        <f>'По терминалам'!Q64</f>
        <v>77C</v>
      </c>
      <c r="Y184" s="173" t="str">
        <f>D183</f>
        <v>РЩГ-1 1НА04 защиты 1Т 1к</v>
      </c>
    </row>
    <row r="185">
      <c r="B185" s="103">
        <v>183</v>
      </c>
      <c r="C185" s="315"/>
      <c r="D185" s="326"/>
      <c r="E185" s="12" t="str">
        <f>'По терминалам'!E65</f>
        <v>С532.1</v>
      </c>
      <c r="F185" s="340"/>
      <c r="G185" s="12">
        <f>'По терминалам'!G65</f>
        <v>166</v>
      </c>
      <c r="H185" s="66">
        <f>'По терминалам'!H65</f>
        <v>32</v>
      </c>
      <c r="I185" s="66" t="str">
        <f>'По терминалам'!I65</f>
        <v>45L</v>
      </c>
      <c r="J185" s="340">
        <f>'По терминалам'!J65</f>
        <v>0</v>
      </c>
      <c r="K185" s="340">
        <f>'По терминалам'!K65</f>
        <v>0</v>
      </c>
      <c r="L185" s="340">
        <f>'По терминалам'!L65</f>
        <v>0</v>
      </c>
      <c r="M185" s="340">
        <f>'По терминалам'!M65</f>
        <v>0</v>
      </c>
      <c r="N185" s="12">
        <f>'По терминалам'!N65</f>
        <v>10</v>
      </c>
      <c r="O185" s="12">
        <f>'По терминалам'!O65</f>
        <v>12</v>
      </c>
      <c r="P185" s="66">
        <f>'По терминалам'!P65</f>
        <v>33</v>
      </c>
      <c r="Q185" s="68" t="str">
        <f>'По терминалам'!Q65</f>
        <v>45L</v>
      </c>
      <c r="Y185" s="173" t="str">
        <f>D183</f>
        <v>РЩГ-1 1НА04 защиты 1Т 1к</v>
      </c>
    </row>
    <row r="186">
      <c r="B186" s="103">
        <v>184</v>
      </c>
      <c r="C186" s="316"/>
      <c r="D186" s="262"/>
      <c r="E186" s="13" t="str">
        <f>'По терминалам'!E66</f>
        <v>N532.1</v>
      </c>
      <c r="F186" s="342"/>
      <c r="G186" s="13">
        <f>'По терминалам'!G66</f>
        <v>167</v>
      </c>
      <c r="H186" s="13">
        <f>'По терминалам'!H66</f>
        <v>0</v>
      </c>
      <c r="I186" s="63" t="str">
        <f>'По терминалам'!I66</f>
        <v>-</v>
      </c>
      <c r="J186" s="342">
        <f>'По терминалам'!J66</f>
        <v>0</v>
      </c>
      <c r="K186" s="342">
        <f>'По терминалам'!K66</f>
        <v>0</v>
      </c>
      <c r="L186" s="342">
        <f>'По терминалам'!L66</f>
        <v>0</v>
      </c>
      <c r="M186" s="342" t="str">
        <f>'По терминалам'!M66</f>
        <v>-</v>
      </c>
      <c r="N186" s="342">
        <f>'По терминалам'!N66</f>
        <v>0</v>
      </c>
      <c r="O186" s="342">
        <f>'По терминалам'!O66</f>
        <v>0</v>
      </c>
      <c r="P186" s="342">
        <f>'По терминалам'!P66</f>
        <v>0</v>
      </c>
      <c r="Q186" s="347">
        <f>'По терминалам'!Q66</f>
        <v>0</v>
      </c>
      <c r="Y186" s="173" t="str">
        <f>D183</f>
        <v>РЩГ-1 1НА04 защиты 1Т 1к</v>
      </c>
    </row>
    <row r="187" ht="28.5">
      <c r="B187" s="103">
        <v>185</v>
      </c>
      <c r="C187" s="292" t="s">
        <v>155</v>
      </c>
      <c r="D187" s="286" t="s">
        <v>316</v>
      </c>
      <c r="E187" s="73" t="str">
        <f>'По терминалам'!E189</f>
        <v>А521.2</v>
      </c>
      <c r="F187" s="265" t="s">
        <v>319</v>
      </c>
      <c r="G187" s="268" t="str">
        <f>'По терминалам'!G189</f>
        <v>-</v>
      </c>
      <c r="H187" s="269">
        <f>'По терминалам'!H189</f>
        <v>0</v>
      </c>
      <c r="I187" s="292">
        <f>'По терминалам'!I189</f>
        <v>0</v>
      </c>
      <c r="J187" s="73">
        <f>'По терминалам'!J189</f>
        <v>7</v>
      </c>
      <c r="K187" s="73">
        <f>'По терминалам'!K189</f>
        <v>32</v>
      </c>
      <c r="L187" s="73" t="str">
        <f>'По терминалам'!L189</f>
        <v>166L</v>
      </c>
      <c r="M187" s="268" t="str">
        <f>'По терминалам'!M189</f>
        <v>Нет БИ</v>
      </c>
      <c r="N187" s="269">
        <f>'По терминалам'!N189</f>
        <v>0</v>
      </c>
      <c r="O187" s="269">
        <f>'По терминалам'!O189</f>
        <v>0</v>
      </c>
      <c r="P187" s="269">
        <f>'По терминалам'!P189</f>
        <v>0</v>
      </c>
      <c r="Q187" s="270">
        <f>'По терминалам'!Q189</f>
        <v>0</v>
      </c>
      <c r="S187" s="4" t="s">
        <v>397</v>
      </c>
      <c r="T187" s="5" t="s">
        <v>398</v>
      </c>
      <c r="U187" s="5" t="s">
        <v>399</v>
      </c>
      <c r="V187" s="5" t="s">
        <v>400</v>
      </c>
      <c r="W187" s="6" t="s">
        <v>401</v>
      </c>
      <c r="Y187" s="173" t="str">
        <f>D187</f>
        <v>ЯПТН</v>
      </c>
    </row>
    <row r="188">
      <c r="B188" s="103">
        <v>186</v>
      </c>
      <c r="C188" s="293"/>
      <c r="D188" s="287"/>
      <c r="E188" s="74" t="str">
        <f>'По терминалам'!E190</f>
        <v>В521.2</v>
      </c>
      <c r="F188" s="266"/>
      <c r="G188" s="271">
        <f>'По терминалам'!G190</f>
        <v>0</v>
      </c>
      <c r="H188" s="272">
        <f>'По терминалам'!H190</f>
        <v>0</v>
      </c>
      <c r="I188" s="293">
        <f>'По терминалам'!I190</f>
        <v>0</v>
      </c>
      <c r="J188" s="74">
        <f>'По терминалам'!J190</f>
        <v>9</v>
      </c>
      <c r="K188" s="74">
        <f>'По терминалам'!K190</f>
        <v>34</v>
      </c>
      <c r="L188" s="74" t="str">
        <f>'По терминалам'!L190</f>
        <v>77C</v>
      </c>
      <c r="M188" s="271">
        <f>'По терминалам'!M190</f>
        <v>0</v>
      </c>
      <c r="N188" s="272">
        <f>'По терминалам'!N190</f>
        <v>0</v>
      </c>
      <c r="O188" s="272">
        <f>'По терминалам'!O190</f>
        <v>0</v>
      </c>
      <c r="P188" s="272">
        <f>'По терминалам'!P190</f>
        <v>0</v>
      </c>
      <c r="Q188" s="273">
        <f>'По терминалам'!Q190</f>
        <v>0</v>
      </c>
      <c r="S188" s="8" t="s">
        <v>419</v>
      </c>
      <c r="T188" s="9"/>
      <c r="U188" s="9"/>
      <c r="V188" s="9"/>
      <c r="W188" s="10"/>
      <c r="Y188" s="173" t="str">
        <f>D187</f>
        <v>ЯПТН</v>
      </c>
    </row>
    <row r="189">
      <c r="B189" s="103">
        <v>187</v>
      </c>
      <c r="C189" s="293"/>
      <c r="D189" s="287"/>
      <c r="E189" s="74" t="str">
        <f>'По терминалам'!E191</f>
        <v>С521.2</v>
      </c>
      <c r="F189" s="266"/>
      <c r="G189" s="271">
        <f>'По терминалам'!G191</f>
        <v>0</v>
      </c>
      <c r="H189" s="272">
        <f>'По терминалам'!H191</f>
        <v>0</v>
      </c>
      <c r="I189" s="293">
        <f>'По терминалам'!I191</f>
        <v>0</v>
      </c>
      <c r="J189" s="74">
        <f>'По терминалам'!J191</f>
        <v>11</v>
      </c>
      <c r="K189" s="74">
        <f>'По терминалам'!K191</f>
        <v>31</v>
      </c>
      <c r="L189" s="74" t="str">
        <f>'По терминалам'!L191</f>
        <v>41L</v>
      </c>
      <c r="M189" s="271">
        <f>'По терминалам'!M191</f>
        <v>0</v>
      </c>
      <c r="N189" s="272">
        <f>'По терминалам'!N191</f>
        <v>0</v>
      </c>
      <c r="O189" s="272">
        <f>'По терминалам'!O191</f>
        <v>0</v>
      </c>
      <c r="P189" s="272">
        <f>'По терминалам'!P191</f>
        <v>0</v>
      </c>
      <c r="Q189" s="273">
        <f>'По терминалам'!Q191</f>
        <v>0</v>
      </c>
      <c r="Y189" s="173" t="str">
        <f>D187</f>
        <v>ЯПТН</v>
      </c>
    </row>
    <row r="190">
      <c r="B190" s="103">
        <v>188</v>
      </c>
      <c r="C190" s="293"/>
      <c r="D190" s="288"/>
      <c r="E190" s="75" t="str">
        <f>'По терминалам'!E192</f>
        <v>N521.2</v>
      </c>
      <c r="F190" s="267"/>
      <c r="G190" s="274">
        <f>'По терминалам'!G192</f>
        <v>0</v>
      </c>
      <c r="H190" s="275">
        <f>'По терминалам'!H192</f>
        <v>0</v>
      </c>
      <c r="I190" s="294">
        <f>'По терминалам'!I192</f>
        <v>0</v>
      </c>
      <c r="J190" s="75">
        <f>'По терминалам'!J192</f>
        <v>12</v>
      </c>
      <c r="K190" s="75">
        <f>'По терминалам'!K192</f>
        <v>0</v>
      </c>
      <c r="L190" s="75" t="str">
        <f>'По терминалам'!L192</f>
        <v>-</v>
      </c>
      <c r="M190" s="274">
        <f>'По терминалам'!M192</f>
        <v>0</v>
      </c>
      <c r="N190" s="275">
        <f>'По терминалам'!N192</f>
        <v>0</v>
      </c>
      <c r="O190" s="275">
        <f>'По терминалам'!O192</f>
        <v>0</v>
      </c>
      <c r="P190" s="275">
        <f>'По терминалам'!P192</f>
        <v>0</v>
      </c>
      <c r="Q190" s="276">
        <f>'По терминалам'!Q192</f>
        <v>0</v>
      </c>
      <c r="Y190" s="173" t="str">
        <f>D187</f>
        <v>ЯПТН</v>
      </c>
    </row>
    <row r="191">
      <c r="B191" s="103">
        <v>189</v>
      </c>
      <c r="C191" s="293"/>
      <c r="D191" s="286" t="s">
        <v>142</v>
      </c>
      <c r="E191" s="73" t="str">
        <f>'По терминалам'!E33</f>
        <v>А521.2</v>
      </c>
      <c r="F191" s="265" t="s">
        <v>114</v>
      </c>
      <c r="G191" s="73">
        <f>'По терминалам'!G33</f>
        <v>136</v>
      </c>
      <c r="H191" s="73">
        <f>'По терминалам'!H33</f>
        <v>32</v>
      </c>
      <c r="I191" s="73" t="str">
        <f>'По терминалам'!I33</f>
        <v>165L</v>
      </c>
      <c r="J191" s="73">
        <f>'По терминалам'!J33</f>
        <v>140</v>
      </c>
      <c r="K191" s="73">
        <f>'По терминалам'!K33</f>
        <v>32</v>
      </c>
      <c r="L191" s="73" t="str">
        <f>'По терминалам'!L33</f>
        <v>166L</v>
      </c>
      <c r="M191" s="265" t="str">
        <f>'По терминалам'!M33</f>
        <v>SG5</v>
      </c>
      <c r="N191" s="73">
        <f>'По терминалам'!N33</f>
        <v>2</v>
      </c>
      <c r="O191" s="73">
        <f>'По терминалам'!O33</f>
        <v>4</v>
      </c>
      <c r="P191" s="73">
        <f>'По терминалам'!P33</f>
        <v>32</v>
      </c>
      <c r="Q191" s="76" t="str">
        <f>'По терминалам'!Q33</f>
        <v>163L</v>
      </c>
      <c r="Y191" s="173" t="str">
        <f>D191</f>
        <v>РЩГ-1 1НА02 защиты 1Г 2к</v>
      </c>
    </row>
    <row r="192">
      <c r="B192" s="103">
        <v>190</v>
      </c>
      <c r="C192" s="293"/>
      <c r="D192" s="287"/>
      <c r="E192" s="74" t="str">
        <f>'По терминалам'!E34</f>
        <v>В521.2</v>
      </c>
      <c r="F192" s="266"/>
      <c r="G192" s="74">
        <f>'По терминалам'!G34</f>
        <v>137</v>
      </c>
      <c r="H192" s="74">
        <f>'По терминалам'!H34</f>
        <v>34</v>
      </c>
      <c r="I192" s="74" t="str">
        <f>'По терминалам'!I34</f>
        <v>77C</v>
      </c>
      <c r="J192" s="74">
        <f>'По терминалам'!J34</f>
        <v>141</v>
      </c>
      <c r="K192" s="74">
        <f>'По терминалам'!K34</f>
        <v>34</v>
      </c>
      <c r="L192" s="74" t="str">
        <f>'По терминалам'!L34</f>
        <v>77C</v>
      </c>
      <c r="M192" s="266">
        <f>'По терминалам'!M34</f>
        <v>0</v>
      </c>
      <c r="N192" s="74">
        <f>'По терминалам'!N34</f>
        <v>6</v>
      </c>
      <c r="O192" s="74">
        <f>'По терминалам'!O34</f>
        <v>8</v>
      </c>
      <c r="P192" s="74">
        <f>'По терминалам'!P34</f>
        <v>33</v>
      </c>
      <c r="Q192" s="77" t="str">
        <f>'По терминалам'!Q34</f>
        <v>78C</v>
      </c>
      <c r="Y192" s="173" t="str">
        <f>D191</f>
        <v>РЩГ-1 1НА02 защиты 1Г 2к</v>
      </c>
    </row>
    <row r="193">
      <c r="B193" s="103">
        <v>191</v>
      </c>
      <c r="C193" s="293"/>
      <c r="D193" s="287"/>
      <c r="E193" s="74" t="str">
        <f>'По терминалам'!E35</f>
        <v>С521.2</v>
      </c>
      <c r="F193" s="266"/>
      <c r="G193" s="74">
        <f>'По терминалам'!G35</f>
        <v>138</v>
      </c>
      <c r="H193" s="74">
        <f>'По терминалам'!H35</f>
        <v>31</v>
      </c>
      <c r="I193" s="74" t="str">
        <f>'По терминалам'!I35</f>
        <v>41L</v>
      </c>
      <c r="J193" s="74">
        <f>'По терминалам'!J35</f>
        <v>142</v>
      </c>
      <c r="K193" s="74">
        <f>'По терминалам'!K35</f>
        <v>31</v>
      </c>
      <c r="L193" s="74" t="str">
        <f>'По терминалам'!L35</f>
        <v>41L</v>
      </c>
      <c r="M193" s="295">
        <f>'По терминалам'!M35</f>
        <v>0</v>
      </c>
      <c r="N193" s="74">
        <f>'По терминалам'!N35</f>
        <v>10</v>
      </c>
      <c r="O193" s="74">
        <f>'По терминалам'!O35</f>
        <v>12</v>
      </c>
      <c r="P193" s="74">
        <f>'По терминалам'!P35</f>
        <v>33</v>
      </c>
      <c r="Q193" s="77" t="str">
        <f>'По терминалам'!Q35</f>
        <v>41L</v>
      </c>
      <c r="Y193" s="173" t="str">
        <f>D191</f>
        <v>РЩГ-1 1НА02 защиты 1Г 2к</v>
      </c>
    </row>
    <row r="194">
      <c r="B194" s="103">
        <v>192</v>
      </c>
      <c r="C194" s="293"/>
      <c r="D194" s="288"/>
      <c r="E194" s="75" t="str">
        <f>'По терминалам'!E36</f>
        <v>N521.2</v>
      </c>
      <c r="F194" s="267"/>
      <c r="G194" s="75">
        <f>'По терминалам'!G36</f>
        <v>139</v>
      </c>
      <c r="H194" s="75">
        <f>'По терминалам'!H36</f>
        <v>0</v>
      </c>
      <c r="I194" s="75" t="str">
        <f>'По терминалам'!I36</f>
        <v>-</v>
      </c>
      <c r="J194" s="75">
        <f>'По терминалам'!J36</f>
        <v>143</v>
      </c>
      <c r="K194" s="75">
        <f>'По терминалам'!K36</f>
        <v>0</v>
      </c>
      <c r="L194" s="75" t="str">
        <f>'По терминалам'!L36</f>
        <v>-</v>
      </c>
      <c r="M194" s="274" t="str">
        <f>'По терминалам'!M36</f>
        <v>-</v>
      </c>
      <c r="N194" s="275">
        <f>'По терминалам'!N36</f>
        <v>0</v>
      </c>
      <c r="O194" s="275">
        <f>'По терминалам'!O36</f>
        <v>0</v>
      </c>
      <c r="P194" s="275">
        <f>'По терминалам'!P36</f>
        <v>0</v>
      </c>
      <c r="Q194" s="276">
        <f>'По терминалам'!Q36</f>
        <v>0</v>
      </c>
      <c r="Y194" s="173" t="str">
        <f>D191</f>
        <v>РЩГ-1 1НА02 защиты 1Г 2к</v>
      </c>
    </row>
    <row r="195">
      <c r="B195" s="103">
        <v>193</v>
      </c>
      <c r="C195" s="293"/>
      <c r="D195" s="286" t="s">
        <v>226</v>
      </c>
      <c r="E195" s="73" t="str">
        <f>'По терминалам'!E99</f>
        <v>А522.2</v>
      </c>
      <c r="F195" s="265" t="s">
        <v>114</v>
      </c>
      <c r="G195" s="73">
        <f>'По терминалам'!G99</f>
        <v>172</v>
      </c>
      <c r="H195" s="73">
        <f>'По терминалам'!H99</f>
        <v>28</v>
      </c>
      <c r="I195" s="73" t="str">
        <f>'По терминалам'!I99</f>
        <v>164L</v>
      </c>
      <c r="J195" s="268" t="str">
        <f>'По терминалам'!J99</f>
        <v>-</v>
      </c>
      <c r="K195" s="269">
        <f>'По терминалам'!K99</f>
        <v>0</v>
      </c>
      <c r="L195" s="292">
        <f>'По терминалам'!L99</f>
        <v>0</v>
      </c>
      <c r="M195" s="265" t="str">
        <f>'По терминалам'!M99</f>
        <v>SG12</v>
      </c>
      <c r="N195" s="73">
        <f>'По терминалам'!N99</f>
        <v>2</v>
      </c>
      <c r="O195" s="73">
        <f>'По терминалам'!O99</f>
        <v>4</v>
      </c>
      <c r="P195" s="73">
        <f>'По терминалам'!P99</f>
        <v>32</v>
      </c>
      <c r="Q195" s="76" t="str">
        <f>'По терминалам'!Q99</f>
        <v>164L</v>
      </c>
      <c r="Y195" s="173" t="str">
        <f>D195</f>
        <v>РЩГ-1 1НА05 защиты 1Т 2к</v>
      </c>
    </row>
    <row r="196">
      <c r="B196" s="103">
        <v>194</v>
      </c>
      <c r="C196" s="293"/>
      <c r="D196" s="287"/>
      <c r="E196" s="74" t="str">
        <f>'По терминалам'!E100</f>
        <v>В522.2</v>
      </c>
      <c r="F196" s="266"/>
      <c r="G196" s="74">
        <f>'По терминалам'!G100</f>
        <v>173</v>
      </c>
      <c r="H196" s="74">
        <f>'По терминалам'!H100</f>
        <v>29</v>
      </c>
      <c r="I196" s="74" t="str">
        <f>'По терминалам'!I100</f>
        <v>78C</v>
      </c>
      <c r="J196" s="271">
        <f>'По терминалам'!J100</f>
        <v>0</v>
      </c>
      <c r="K196" s="272">
        <f>'По терминалам'!K100</f>
        <v>0</v>
      </c>
      <c r="L196" s="293">
        <f>'По терминалам'!L100</f>
        <v>0</v>
      </c>
      <c r="M196" s="266">
        <f>'По терминалам'!M100</f>
        <v>0</v>
      </c>
      <c r="N196" s="74">
        <f>'По терминалам'!N100</f>
        <v>6</v>
      </c>
      <c r="O196" s="74">
        <f>'По терминалам'!O100</f>
        <v>8</v>
      </c>
      <c r="P196" s="74">
        <f>'По терминалам'!P100</f>
        <v>34</v>
      </c>
      <c r="Q196" s="77" t="str">
        <f>'По терминалам'!Q100</f>
        <v>78C</v>
      </c>
      <c r="Y196" s="173" t="str">
        <f>D195</f>
        <v>РЩГ-1 1НА05 защиты 1Т 2к</v>
      </c>
    </row>
    <row r="197">
      <c r="B197" s="103">
        <v>195</v>
      </c>
      <c r="C197" s="293"/>
      <c r="D197" s="287"/>
      <c r="E197" s="74" t="str">
        <f>'По терминалам'!E101</f>
        <v>С522.2</v>
      </c>
      <c r="F197" s="266"/>
      <c r="G197" s="74">
        <f>'По терминалам'!G101</f>
        <v>174</v>
      </c>
      <c r="H197" s="74">
        <f>'По терминалам'!H101</f>
        <v>29</v>
      </c>
      <c r="I197" s="74" t="str">
        <f>'По терминалам'!I101</f>
        <v>45L</v>
      </c>
      <c r="J197" s="271">
        <f>'По терминалам'!J101</f>
        <v>0</v>
      </c>
      <c r="K197" s="272">
        <f>'По терминалам'!K101</f>
        <v>0</v>
      </c>
      <c r="L197" s="293">
        <f>'По терминалам'!L101</f>
        <v>0</v>
      </c>
      <c r="M197" s="295">
        <f>'По терминалам'!M101</f>
        <v>0</v>
      </c>
      <c r="N197" s="74">
        <f>'По терминалам'!N101</f>
        <v>10</v>
      </c>
      <c r="O197" s="74">
        <f>'По терминалам'!O101</f>
        <v>12</v>
      </c>
      <c r="P197" s="74">
        <f>'По терминалам'!P101</f>
        <v>31</v>
      </c>
      <c r="Q197" s="77" t="str">
        <f>'По терминалам'!Q101</f>
        <v>45L</v>
      </c>
      <c r="Y197" s="173" t="str">
        <f>D195</f>
        <v>РЩГ-1 1НА05 защиты 1Т 2к</v>
      </c>
    </row>
    <row r="198">
      <c r="B198" s="103">
        <v>196</v>
      </c>
      <c r="C198" s="294"/>
      <c r="D198" s="288"/>
      <c r="E198" s="75" t="str">
        <f>'По терминалам'!E102</f>
        <v>N522.2</v>
      </c>
      <c r="F198" s="267"/>
      <c r="G198" s="75">
        <f>'По терминалам'!G102</f>
        <v>175</v>
      </c>
      <c r="H198" s="75">
        <f>'По терминалам'!H102</f>
        <v>0</v>
      </c>
      <c r="I198" s="75" t="str">
        <f>'По терминалам'!I102</f>
        <v>-</v>
      </c>
      <c r="J198" s="274">
        <f>'По терминалам'!J102</f>
        <v>0</v>
      </c>
      <c r="K198" s="275">
        <f>'По терминалам'!K102</f>
        <v>0</v>
      </c>
      <c r="L198" s="294">
        <f>'По терминалам'!L102</f>
        <v>0</v>
      </c>
      <c r="M198" s="274" t="str">
        <f>'По терминалам'!M102</f>
        <v>-</v>
      </c>
      <c r="N198" s="275">
        <f>'По терминалам'!N102</f>
        <v>0</v>
      </c>
      <c r="O198" s="275">
        <f>'По терминалам'!O102</f>
        <v>0</v>
      </c>
      <c r="P198" s="275">
        <f>'По терминалам'!P102</f>
        <v>0</v>
      </c>
      <c r="Q198" s="276">
        <f>'По терминалам'!Q102</f>
        <v>0</v>
      </c>
      <c r="Y198" s="173" t="str">
        <f>D195</f>
        <v>РЩГ-1 1НА05 защиты 1Т 2к</v>
      </c>
    </row>
    <row r="199" ht="28.5">
      <c r="B199" s="103">
        <v>197</v>
      </c>
      <c r="C199" s="314" t="s">
        <v>128</v>
      </c>
      <c r="D199" s="261" t="s">
        <v>316</v>
      </c>
      <c r="E199" s="65" t="str">
        <f>'По терминалам'!E193</f>
        <v>А531.2</v>
      </c>
      <c r="F199" s="303" t="s">
        <v>320</v>
      </c>
      <c r="G199" s="305" t="str">
        <f>'По терминалам'!G193</f>
        <v>-</v>
      </c>
      <c r="H199" s="306">
        <f>'По терминалам'!H193</f>
        <v>0</v>
      </c>
      <c r="I199" s="314">
        <f>'По терминалам'!I193</f>
        <v>0</v>
      </c>
      <c r="J199" s="65">
        <f>'По терминалам'!J193</f>
        <v>7</v>
      </c>
      <c r="K199" s="65">
        <f>'По терминалам'!K193</f>
        <v>32</v>
      </c>
      <c r="L199" s="65" t="str">
        <f>'По терминалам'!L193</f>
        <v>166L</v>
      </c>
      <c r="M199" s="305" t="str">
        <f>'По терминалам'!M193</f>
        <v>Нет БИ</v>
      </c>
      <c r="N199" s="306">
        <f>'По терминалам'!N193</f>
        <v>0</v>
      </c>
      <c r="O199" s="306">
        <f>'По терминалам'!O193</f>
        <v>0</v>
      </c>
      <c r="P199" s="306">
        <f>'По терминалам'!P193</f>
        <v>0</v>
      </c>
      <c r="Q199" s="307">
        <f>'По терминалам'!Q193</f>
        <v>0</v>
      </c>
      <c r="S199" s="4" t="s">
        <v>397</v>
      </c>
      <c r="T199" s="5" t="s">
        <v>398</v>
      </c>
      <c r="U199" s="5" t="s">
        <v>399</v>
      </c>
      <c r="V199" s="5" t="s">
        <v>400</v>
      </c>
      <c r="W199" s="6" t="s">
        <v>401</v>
      </c>
      <c r="Y199" s="173" t="str">
        <f>D199</f>
        <v>ЯПТН</v>
      </c>
    </row>
    <row r="200">
      <c r="B200" s="103">
        <v>198</v>
      </c>
      <c r="C200" s="315"/>
      <c r="D200" s="326"/>
      <c r="E200" s="66" t="str">
        <f>'По терминалам'!E194</f>
        <v>В531.2</v>
      </c>
      <c r="F200" s="317"/>
      <c r="G200" s="308">
        <f>'По терминалам'!G194</f>
        <v>0</v>
      </c>
      <c r="H200" s="309">
        <f>'По терминалам'!H194</f>
        <v>0</v>
      </c>
      <c r="I200" s="315">
        <f>'По терминалам'!I194</f>
        <v>0</v>
      </c>
      <c r="J200" s="66">
        <f>'По терминалам'!J194</f>
        <v>9</v>
      </c>
      <c r="K200" s="66">
        <f>'По терминалам'!K194</f>
        <v>31</v>
      </c>
      <c r="L200" s="66" t="str">
        <f>'По терминалам'!L194</f>
        <v>77C</v>
      </c>
      <c r="M200" s="308">
        <f>'По терминалам'!M194</f>
        <v>0</v>
      </c>
      <c r="N200" s="309">
        <f>'По терминалам'!N194</f>
        <v>0</v>
      </c>
      <c r="O200" s="309">
        <f>'По терминалам'!O194</f>
        <v>0</v>
      </c>
      <c r="P200" s="309">
        <f>'По терминалам'!P194</f>
        <v>0</v>
      </c>
      <c r="Q200" s="310">
        <f>'По терминалам'!Q194</f>
        <v>0</v>
      </c>
      <c r="S200" s="8" t="s">
        <v>420</v>
      </c>
      <c r="T200" s="9"/>
      <c r="U200" s="9"/>
      <c r="V200" s="9"/>
      <c r="W200" s="10"/>
      <c r="Y200" s="173" t="str">
        <f>D199</f>
        <v>ЯПТН</v>
      </c>
    </row>
    <row r="201">
      <c r="B201" s="103">
        <v>199</v>
      </c>
      <c r="C201" s="315"/>
      <c r="D201" s="326"/>
      <c r="E201" s="12" t="str">
        <f>'По терминалам'!E195</f>
        <v>С531.2</v>
      </c>
      <c r="F201" s="317"/>
      <c r="G201" s="308">
        <f>'По терминалам'!G195</f>
        <v>0</v>
      </c>
      <c r="H201" s="309">
        <f>'По терминалам'!H195</f>
        <v>0</v>
      </c>
      <c r="I201" s="315">
        <f>'По терминалам'!I195</f>
        <v>0</v>
      </c>
      <c r="J201" s="66">
        <f>'По терминалам'!J195</f>
        <v>11</v>
      </c>
      <c r="K201" s="66">
        <f>'По терминалам'!K195</f>
        <v>32</v>
      </c>
      <c r="L201" s="66" t="str">
        <f>'По терминалам'!L195</f>
        <v>44L</v>
      </c>
      <c r="M201" s="308">
        <f>'По терминалам'!M195</f>
        <v>0</v>
      </c>
      <c r="N201" s="309">
        <f>'По терминалам'!N195</f>
        <v>0</v>
      </c>
      <c r="O201" s="309">
        <f>'По терминалам'!O195</f>
        <v>0</v>
      </c>
      <c r="P201" s="309">
        <f>'По терминалам'!P195</f>
        <v>0</v>
      </c>
      <c r="Q201" s="310">
        <f>'По терминалам'!Q195</f>
        <v>0</v>
      </c>
      <c r="Y201" s="173" t="str">
        <f>D199</f>
        <v>ЯПТН</v>
      </c>
    </row>
    <row r="202">
      <c r="B202" s="103">
        <v>200</v>
      </c>
      <c r="C202" s="315"/>
      <c r="D202" s="262"/>
      <c r="E202" s="13" t="str">
        <f>'По терминалам'!E196</f>
        <v>N531.2</v>
      </c>
      <c r="F202" s="304"/>
      <c r="G202" s="311">
        <f>'По терминалам'!G196</f>
        <v>0</v>
      </c>
      <c r="H202" s="312">
        <f>'По терминалам'!H196</f>
        <v>0</v>
      </c>
      <c r="I202" s="316">
        <f>'По терминалам'!I196</f>
        <v>0</v>
      </c>
      <c r="J202" s="63">
        <f>'По терминалам'!J196</f>
        <v>12</v>
      </c>
      <c r="K202" s="13">
        <f>'По терминалам'!K196</f>
        <v>0</v>
      </c>
      <c r="L202" s="63" t="str">
        <f>'По терминалам'!L196</f>
        <v>-</v>
      </c>
      <c r="M202" s="311">
        <f>'По терминалам'!M196</f>
        <v>0</v>
      </c>
      <c r="N202" s="312">
        <f>'По терминалам'!N196</f>
        <v>0</v>
      </c>
      <c r="O202" s="312">
        <f>'По терминалам'!O196</f>
        <v>0</v>
      </c>
      <c r="P202" s="312">
        <f>'По терминалам'!P196</f>
        <v>0</v>
      </c>
      <c r="Q202" s="313">
        <f>'По терминалам'!Q196</f>
        <v>0</v>
      </c>
      <c r="Y202" s="173" t="str">
        <f>D199</f>
        <v>ЯПТН</v>
      </c>
    </row>
    <row r="203">
      <c r="B203" s="103">
        <v>201</v>
      </c>
      <c r="C203" s="315"/>
      <c r="D203" s="261" t="s">
        <v>113</v>
      </c>
      <c r="E203" s="65" t="str">
        <f>'По терминалам'!E19</f>
        <v>А531.2</v>
      </c>
      <c r="F203" s="303" t="s">
        <v>114</v>
      </c>
      <c r="G203" s="17">
        <f>'По терминалам'!G19</f>
        <v>136</v>
      </c>
      <c r="H203" s="65">
        <f>'По терминалам'!H19</f>
        <v>32</v>
      </c>
      <c r="I203" s="65" t="str">
        <f>'По терминалам'!I19</f>
        <v>166L</v>
      </c>
      <c r="J203" s="17">
        <f>'По терминалам'!J19</f>
        <v>140</v>
      </c>
      <c r="K203" s="65">
        <f>'По терминалам'!K19</f>
        <v>31</v>
      </c>
      <c r="L203" s="65" t="str">
        <f>'По терминалам'!L19</f>
        <v>166L</v>
      </c>
      <c r="M203" s="303" t="str">
        <f>'По терминалам'!M19</f>
        <v>SG5</v>
      </c>
      <c r="N203" s="17">
        <f>'По терминалам'!N19</f>
        <v>2</v>
      </c>
      <c r="O203" s="17">
        <f>'По терминалам'!O19</f>
        <v>4</v>
      </c>
      <c r="P203" s="65">
        <f>'По терминалам'!P19</f>
        <v>32</v>
      </c>
      <c r="Q203" s="67" t="str">
        <f>'По терминалам'!Q19</f>
        <v>164L</v>
      </c>
      <c r="Y203" s="173" t="str">
        <f>D203</f>
        <v>РЩГ-1 1НА01 защиты 1Г 1к</v>
      </c>
    </row>
    <row r="204">
      <c r="B204" s="103">
        <v>202</v>
      </c>
      <c r="C204" s="315"/>
      <c r="D204" s="326"/>
      <c r="E204" s="66" t="str">
        <f>'По терминалам'!E20</f>
        <v>В531.2</v>
      </c>
      <c r="F204" s="317"/>
      <c r="G204" s="12">
        <f>'По терминалам'!G20</f>
        <v>137</v>
      </c>
      <c r="H204" s="66">
        <f>'По терминалам'!H20</f>
        <v>31</v>
      </c>
      <c r="I204" s="66" t="str">
        <f>'По терминалам'!I20</f>
        <v>78C</v>
      </c>
      <c r="J204" s="12">
        <f>'По терминалам'!J20</f>
        <v>141</v>
      </c>
      <c r="K204" s="66">
        <f>'По терминалам'!K20</f>
        <v>34</v>
      </c>
      <c r="L204" s="66" t="str">
        <f>'По терминалам'!L20</f>
        <v>77C</v>
      </c>
      <c r="M204" s="317">
        <f>'По терминалам'!M20</f>
        <v>0</v>
      </c>
      <c r="N204" s="12">
        <f>'По терминалам'!N20</f>
        <v>6</v>
      </c>
      <c r="O204" s="12">
        <f>'По терминалам'!O20</f>
        <v>8</v>
      </c>
      <c r="P204" s="66">
        <f>'По терминалам'!P20</f>
        <v>32</v>
      </c>
      <c r="Q204" s="68" t="str">
        <f>'По терминалам'!Q20</f>
        <v>77C</v>
      </c>
      <c r="Y204" s="173" t="str">
        <f>D203</f>
        <v>РЩГ-1 1НА01 защиты 1Г 1к</v>
      </c>
    </row>
    <row r="205">
      <c r="B205" s="103">
        <v>203</v>
      </c>
      <c r="C205" s="315"/>
      <c r="D205" s="326"/>
      <c r="E205" s="12" t="str">
        <f>'По терминалам'!E21</f>
        <v>С531.2</v>
      </c>
      <c r="F205" s="317"/>
      <c r="G205" s="12">
        <f>'По терминалам'!G21</f>
        <v>138</v>
      </c>
      <c r="H205" s="66">
        <f>'По терминалам'!H21</f>
        <v>32</v>
      </c>
      <c r="I205" s="66" t="str">
        <f>'По терминалам'!I21</f>
        <v>44L</v>
      </c>
      <c r="J205" s="12">
        <f>'По терминалам'!J21</f>
        <v>142</v>
      </c>
      <c r="K205" s="66">
        <f>'По терминалам'!K21</f>
        <v>32</v>
      </c>
      <c r="L205" s="66" t="str">
        <f>'По терминалам'!L21</f>
        <v>44L</v>
      </c>
      <c r="M205" s="317">
        <f>'По терминалам'!M21</f>
        <v>0</v>
      </c>
      <c r="N205" s="12">
        <f>'По терминалам'!N21</f>
        <v>10</v>
      </c>
      <c r="O205" s="12">
        <f>'По терминалам'!O21</f>
        <v>12</v>
      </c>
      <c r="P205" s="66">
        <f>'По терминалам'!P21</f>
        <v>32</v>
      </c>
      <c r="Q205" s="68" t="str">
        <f>'По терминалам'!Q21</f>
        <v>45L</v>
      </c>
      <c r="Y205" s="173" t="str">
        <f>D203</f>
        <v>РЩГ-1 1НА01 защиты 1Г 1к</v>
      </c>
    </row>
    <row r="206">
      <c r="B206" s="103">
        <v>204</v>
      </c>
      <c r="C206" s="315"/>
      <c r="D206" s="262"/>
      <c r="E206" s="13" t="str">
        <f>'По терминалам'!E22</f>
        <v>N531.2</v>
      </c>
      <c r="F206" s="304"/>
      <c r="G206" s="13">
        <f>'По терминалам'!G22</f>
        <v>139</v>
      </c>
      <c r="H206" s="63">
        <f>'По терминалам'!H22</f>
        <v>0</v>
      </c>
      <c r="I206" s="63" t="str">
        <f>'По терминалам'!I22</f>
        <v>-</v>
      </c>
      <c r="J206" s="13">
        <f>'По терминалам'!J22</f>
        <v>143</v>
      </c>
      <c r="K206" s="63">
        <f>'По терминалам'!K22</f>
        <v>0</v>
      </c>
      <c r="L206" s="63">
        <f>'По терминалам'!L22</f>
        <v>0</v>
      </c>
      <c r="M206" s="304">
        <f>'По терминалам'!M22</f>
        <v>0</v>
      </c>
      <c r="N206" s="318" t="str">
        <f>'По терминалам'!N22</f>
        <v>-</v>
      </c>
      <c r="O206" s="319">
        <f>'По терминалам'!O22</f>
        <v>0</v>
      </c>
      <c r="P206" s="319">
        <f>'По терминалам'!P22</f>
        <v>0</v>
      </c>
      <c r="Q206" s="320">
        <f>'По терминалам'!Q22</f>
        <v>0</v>
      </c>
      <c r="Y206" s="173" t="str">
        <f>D203</f>
        <v>РЩГ-1 1НА01 защиты 1Г 1к</v>
      </c>
    </row>
    <row r="207">
      <c r="B207" s="103">
        <v>205</v>
      </c>
      <c r="C207" s="315"/>
      <c r="D207" s="261" t="s">
        <v>164</v>
      </c>
      <c r="E207" s="65" t="str">
        <f>'По терминалам'!E67</f>
        <v>А532.2</v>
      </c>
      <c r="F207" s="303" t="s">
        <v>114</v>
      </c>
      <c r="G207" s="17">
        <f>'По терминалам'!G67</f>
        <v>172</v>
      </c>
      <c r="H207" s="65">
        <f>'По терминалам'!H67</f>
        <v>32</v>
      </c>
      <c r="I207" s="65" t="str">
        <f>'По терминалам'!I67</f>
        <v>164L</v>
      </c>
      <c r="J207" s="305" t="str">
        <f>'По терминалам'!J67</f>
        <v>-</v>
      </c>
      <c r="K207" s="306">
        <f>'По терминалам'!K67</f>
        <v>0</v>
      </c>
      <c r="L207" s="314">
        <f>'По терминалам'!L67</f>
        <v>0</v>
      </c>
      <c r="M207" s="303" t="str">
        <f>'По терминалам'!M67</f>
        <v>SG12</v>
      </c>
      <c r="N207" s="17">
        <f>'По терминалам'!N67</f>
        <v>2</v>
      </c>
      <c r="O207" s="17">
        <f>'По терминалам'!O67</f>
        <v>4</v>
      </c>
      <c r="P207" s="65">
        <f>'По терминалам'!P67</f>
        <v>32</v>
      </c>
      <c r="Q207" s="67" t="str">
        <f>'По терминалам'!Q67</f>
        <v>163L</v>
      </c>
      <c r="Y207" s="173" t="str">
        <f>D207</f>
        <v>РЩГ-1 1НА04 защиты 1Т 1к</v>
      </c>
    </row>
    <row r="208">
      <c r="B208" s="103">
        <v>206</v>
      </c>
      <c r="C208" s="315"/>
      <c r="D208" s="326"/>
      <c r="E208" s="66" t="str">
        <f>'По терминалам'!E68</f>
        <v>В532.2</v>
      </c>
      <c r="F208" s="317"/>
      <c r="G208" s="12">
        <f>'По терминалам'!G68</f>
        <v>173</v>
      </c>
      <c r="H208" s="66">
        <f>'По терминалам'!H68</f>
        <v>33</v>
      </c>
      <c r="I208" s="66" t="str">
        <f>'По терминалам'!I68</f>
        <v>77C</v>
      </c>
      <c r="J208" s="308">
        <f>'По терминалам'!J68</f>
        <v>0</v>
      </c>
      <c r="K208" s="309">
        <f>'По терминалам'!K68</f>
        <v>0</v>
      </c>
      <c r="L208" s="315">
        <f>'По терминалам'!L68</f>
        <v>0</v>
      </c>
      <c r="M208" s="317">
        <f>'По терминалам'!M68</f>
        <v>0</v>
      </c>
      <c r="N208" s="12">
        <f>'По терминалам'!N68</f>
        <v>6</v>
      </c>
      <c r="O208" s="12">
        <f>'По терминалам'!O68</f>
        <v>8</v>
      </c>
      <c r="P208" s="66">
        <f>'По терминалам'!P68</f>
        <v>33</v>
      </c>
      <c r="Q208" s="68" t="str">
        <f>'По терминалам'!Q68</f>
        <v>77C</v>
      </c>
      <c r="Y208" s="173" t="str">
        <f>D207</f>
        <v>РЩГ-1 1НА04 защиты 1Т 1к</v>
      </c>
    </row>
    <row r="209">
      <c r="B209" s="103">
        <v>207</v>
      </c>
      <c r="C209" s="315"/>
      <c r="D209" s="326"/>
      <c r="E209" s="12" t="str">
        <f>'По терминалам'!E69</f>
        <v>С532.2</v>
      </c>
      <c r="F209" s="317"/>
      <c r="G209" s="12">
        <f>'По терминалам'!G69</f>
        <v>174</v>
      </c>
      <c r="H209" s="66">
        <f>'По терминалам'!H69</f>
        <v>33</v>
      </c>
      <c r="I209" s="66" t="str">
        <f>'По терминалам'!I69</f>
        <v>45L</v>
      </c>
      <c r="J209" s="308">
        <f>'По терминалам'!J69</f>
        <v>0</v>
      </c>
      <c r="K209" s="309">
        <f>'По терминалам'!K69</f>
        <v>0</v>
      </c>
      <c r="L209" s="315">
        <f>'По терминалам'!L69</f>
        <v>0</v>
      </c>
      <c r="M209" s="317">
        <f>'По терминалам'!M69</f>
        <v>0</v>
      </c>
      <c r="N209" s="12">
        <f>'По терминалам'!N69</f>
        <v>10</v>
      </c>
      <c r="O209" s="12">
        <f>'По терминалам'!O69</f>
        <v>12</v>
      </c>
      <c r="P209" s="66">
        <f>'По терминалам'!P69</f>
        <v>33</v>
      </c>
      <c r="Q209" s="68" t="str">
        <f>'По терминалам'!Q69</f>
        <v>45L</v>
      </c>
      <c r="Y209" s="173" t="str">
        <f>D207</f>
        <v>РЩГ-1 1НА04 защиты 1Т 1к</v>
      </c>
    </row>
    <row r="210">
      <c r="B210" s="103">
        <v>208</v>
      </c>
      <c r="C210" s="316"/>
      <c r="D210" s="262"/>
      <c r="E210" s="13" t="str">
        <f>'По терминалам'!E70</f>
        <v>N532.2</v>
      </c>
      <c r="F210" s="304"/>
      <c r="G210" s="13">
        <f>'По терминалам'!G70</f>
        <v>175</v>
      </c>
      <c r="H210" s="13">
        <f>'По терминалам'!H70</f>
        <v>0</v>
      </c>
      <c r="I210" s="63" t="str">
        <f>'По терминалам'!I70</f>
        <v>-</v>
      </c>
      <c r="J210" s="311">
        <f>'По терминалам'!J70</f>
        <v>0</v>
      </c>
      <c r="K210" s="312">
        <f>'По терминалам'!K70</f>
        <v>0</v>
      </c>
      <c r="L210" s="316">
        <f>'По терминалам'!L70</f>
        <v>0</v>
      </c>
      <c r="M210" s="304">
        <f>'По терминалам'!M70</f>
        <v>0</v>
      </c>
      <c r="N210" s="318" t="str">
        <f>'По терминалам'!N70</f>
        <v>-</v>
      </c>
      <c r="O210" s="319">
        <f>'По терминалам'!O70</f>
        <v>0</v>
      </c>
      <c r="P210" s="319">
        <f>'По терминалам'!P70</f>
        <v>0</v>
      </c>
      <c r="Q210" s="320">
        <f>'По терминалам'!Q70</f>
        <v>0</v>
      </c>
      <c r="Y210" s="173" t="str">
        <f>D207</f>
        <v>РЩГ-1 1НА04 защиты 1Т 1к</v>
      </c>
    </row>
    <row r="211" ht="28.5">
      <c r="B211" s="103">
        <v>209</v>
      </c>
      <c r="C211" s="292" t="s">
        <v>203</v>
      </c>
      <c r="D211" s="286" t="s">
        <v>323</v>
      </c>
      <c r="E211" s="73" t="str">
        <f>'По терминалам'!E209</f>
        <v>H541</v>
      </c>
      <c r="F211" s="289" t="s">
        <v>325</v>
      </c>
      <c r="G211" s="268" t="str">
        <f>'По терминалам'!G209</f>
        <v>-</v>
      </c>
      <c r="H211" s="269">
        <f>'По терминалам'!H209</f>
        <v>0</v>
      </c>
      <c r="I211" s="292">
        <f>'По терминалам'!I209</f>
        <v>0</v>
      </c>
      <c r="J211" s="73">
        <f>'По терминалам'!J209</f>
        <v>17</v>
      </c>
      <c r="K211" s="73">
        <f>'По терминалам'!K209</f>
        <v>0</v>
      </c>
      <c r="L211" s="73" t="str">
        <f>'По терминалам'!L209</f>
        <v>-</v>
      </c>
      <c r="M211" s="268" t="str">
        <f>'По терминалам'!M209</f>
        <v>Нет БИ</v>
      </c>
      <c r="N211" s="269">
        <f>'По терминалам'!N209</f>
        <v>0</v>
      </c>
      <c r="O211" s="269">
        <f>'По терминалам'!O209</f>
        <v>0</v>
      </c>
      <c r="P211" s="269">
        <f>'По терминалам'!P209</f>
        <v>0</v>
      </c>
      <c r="Q211" s="270">
        <f>'По терминалам'!Q209</f>
        <v>0</v>
      </c>
      <c r="S211" s="4" t="s">
        <v>397</v>
      </c>
      <c r="T211" s="5" t="s">
        <v>398</v>
      </c>
      <c r="U211" s="5" t="s">
        <v>399</v>
      </c>
      <c r="V211" s="5" t="s">
        <v>400</v>
      </c>
      <c r="W211" s="6" t="s">
        <v>401</v>
      </c>
      <c r="Y211" s="173" t="str">
        <f>D211</f>
        <v>ЯЗТ 1Т</v>
      </c>
    </row>
    <row r="212">
      <c r="B212" s="103">
        <v>210</v>
      </c>
      <c r="C212" s="293"/>
      <c r="D212" s="288"/>
      <c r="E212" s="75" t="str">
        <f>'По терминалам'!E210</f>
        <v>О541</v>
      </c>
      <c r="F212" s="291"/>
      <c r="G212" s="274">
        <f>'По терминалам'!G210</f>
        <v>0</v>
      </c>
      <c r="H212" s="275">
        <f>'По терминалам'!H210</f>
        <v>0</v>
      </c>
      <c r="I212" s="294">
        <f>'По терминалам'!I210</f>
        <v>0</v>
      </c>
      <c r="J212" s="75">
        <f>'По терминалам'!J210</f>
        <v>18</v>
      </c>
      <c r="K212" s="75">
        <f>'По терминалам'!K210</f>
        <v>0</v>
      </c>
      <c r="L212" s="75" t="str">
        <f>'По терминалам'!L210</f>
        <v>-</v>
      </c>
      <c r="M212" s="274">
        <f>'По терминалам'!M210</f>
        <v>0</v>
      </c>
      <c r="N212" s="275">
        <f>'По терминалам'!N210</f>
        <v>0</v>
      </c>
      <c r="O212" s="275">
        <f>'По терминалам'!O210</f>
        <v>0</v>
      </c>
      <c r="P212" s="275">
        <f>'По терминалам'!P210</f>
        <v>0</v>
      </c>
      <c r="Q212" s="276">
        <f>'По терминалам'!Q210</f>
        <v>0</v>
      </c>
      <c r="S212" s="8" t="s">
        <v>421</v>
      </c>
      <c r="T212" s="9"/>
      <c r="U212" s="9"/>
      <c r="V212" s="9"/>
      <c r="W212" s="10"/>
      <c r="Y212" s="173" t="str">
        <f>D211</f>
        <v>ЯЗТ 1Т</v>
      </c>
    </row>
    <row r="213">
      <c r="B213" s="103">
        <v>211</v>
      </c>
      <c r="C213" s="293"/>
      <c r="D213" s="286" t="s">
        <v>164</v>
      </c>
      <c r="E213" s="73" t="str">
        <f>'По терминалам'!E57</f>
        <v>H541</v>
      </c>
      <c r="F213" s="289" t="s">
        <v>114</v>
      </c>
      <c r="G213" s="73">
        <f>'По терминалам'!G57</f>
        <v>154</v>
      </c>
      <c r="H213" s="73">
        <f>'По терминалам'!H57</f>
        <v>0</v>
      </c>
      <c r="I213" s="73" t="str">
        <f>'По терминалам'!I57</f>
        <v>-</v>
      </c>
      <c r="J213" s="73">
        <f>'По терминалам'!J57</f>
        <v>155</v>
      </c>
      <c r="K213" s="73">
        <f>'По терминалам'!K57</f>
        <v>0</v>
      </c>
      <c r="L213" s="73" t="str">
        <f>'По терминалам'!L57</f>
        <v>-</v>
      </c>
      <c r="M213" s="265" t="str">
        <f>'По терминалам'!M57</f>
        <v>SG9</v>
      </c>
      <c r="N213" s="73">
        <f>'По терминалам'!N57</f>
        <v>2</v>
      </c>
      <c r="O213" s="73">
        <f>'По терминалам'!O57</f>
        <v>4</v>
      </c>
      <c r="P213" s="73">
        <f>'По терминалам'!P57</f>
        <v>0</v>
      </c>
      <c r="Q213" s="76" t="str">
        <f>'По терминалам'!Q57</f>
        <v>-</v>
      </c>
      <c r="Y213" s="173" t="str">
        <f>D213</f>
        <v>РЩГ-1 1НА04 защиты 1Т 1к</v>
      </c>
    </row>
    <row r="214">
      <c r="B214" s="103">
        <v>212</v>
      </c>
      <c r="C214" s="293"/>
      <c r="D214" s="288"/>
      <c r="E214" s="75" t="str">
        <f>'По терминалам'!E58</f>
        <v>О541</v>
      </c>
      <c r="F214" s="291"/>
      <c r="G214" s="75" t="str">
        <f>'По терминалам'!G58</f>
        <v>155а</v>
      </c>
      <c r="H214" s="75">
        <f>'По терминалам'!H58</f>
        <v>0</v>
      </c>
      <c r="I214" s="75" t="str">
        <f>'По терминалам'!I58</f>
        <v>-</v>
      </c>
      <c r="J214" s="75" t="str">
        <f>'По терминалам'!J58</f>
        <v>155а</v>
      </c>
      <c r="K214" s="75">
        <f>'По терминалам'!K58</f>
        <v>0</v>
      </c>
      <c r="L214" s="75" t="str">
        <f>'По терминалам'!L58</f>
        <v>-</v>
      </c>
      <c r="M214" s="267">
        <f>'По терминалам'!M58</f>
        <v>0</v>
      </c>
      <c r="N214" s="75">
        <f>'По терминалам'!N58</f>
        <v>2</v>
      </c>
      <c r="O214" s="75">
        <f>'По терминалам'!O58</f>
        <v>4</v>
      </c>
      <c r="P214" s="75">
        <f>'По терминалам'!P58</f>
        <v>0</v>
      </c>
      <c r="Q214" s="94" t="str">
        <f>'По терминалам'!Q58</f>
        <v>-</v>
      </c>
      <c r="Y214" s="173" t="str">
        <f>D213</f>
        <v>РЩГ-1 1НА04 защиты 1Т 1к</v>
      </c>
    </row>
    <row r="215">
      <c r="B215" s="103">
        <v>213</v>
      </c>
      <c r="C215" s="293"/>
      <c r="D215" s="286" t="s">
        <v>226</v>
      </c>
      <c r="E215" s="73" t="str">
        <f>'По терминалам'!E89</f>
        <v>H542</v>
      </c>
      <c r="F215" s="289" t="s">
        <v>114</v>
      </c>
      <c r="G215" s="73">
        <f>'По терминалам'!G89</f>
        <v>154</v>
      </c>
      <c r="H215" s="73">
        <f>'По терминалам'!H89</f>
        <v>0</v>
      </c>
      <c r="I215" s="73" t="str">
        <f>'По терминалам'!I89</f>
        <v>-</v>
      </c>
      <c r="J215" s="268" t="str">
        <f>'По терминалам'!J89</f>
        <v>-</v>
      </c>
      <c r="K215" s="269">
        <f>'По терминалам'!K89</f>
        <v>0</v>
      </c>
      <c r="L215" s="292">
        <f>'По терминалам'!L89</f>
        <v>0</v>
      </c>
      <c r="M215" s="265" t="str">
        <f>'По терминалам'!M89</f>
        <v>SG9</v>
      </c>
      <c r="N215" s="73">
        <f>'По терминалам'!N89</f>
        <v>2</v>
      </c>
      <c r="O215" s="73">
        <f>'По терминалам'!O89</f>
        <v>4</v>
      </c>
      <c r="P215" s="73">
        <f>'По терминалам'!P89</f>
        <v>0</v>
      </c>
      <c r="Q215" s="76" t="str">
        <f>'По терминалам'!Q89</f>
        <v>-</v>
      </c>
      <c r="Y215" s="173" t="str">
        <f>D215</f>
        <v>РЩГ-1 1НА05 защиты 1Т 2к</v>
      </c>
    </row>
    <row r="216">
      <c r="B216" s="103">
        <v>214</v>
      </c>
      <c r="C216" s="294"/>
      <c r="D216" s="288"/>
      <c r="E216" s="75" t="str">
        <f>'По терминалам'!E90</f>
        <v>О541</v>
      </c>
      <c r="F216" s="291"/>
      <c r="G216" s="75">
        <f>'По терминалам'!G90</f>
        <v>155</v>
      </c>
      <c r="H216" s="75">
        <f>'По терминалам'!H90</f>
        <v>0</v>
      </c>
      <c r="I216" s="75" t="str">
        <f>'По терминалам'!I90</f>
        <v>-</v>
      </c>
      <c r="J216" s="274">
        <f>'По терминалам'!J90</f>
        <v>0</v>
      </c>
      <c r="K216" s="275">
        <f>'По терминалам'!K90</f>
        <v>0</v>
      </c>
      <c r="L216" s="294">
        <f>'По терминалам'!L90</f>
        <v>0</v>
      </c>
      <c r="M216" s="267">
        <f>'По терминалам'!M90</f>
        <v>0</v>
      </c>
      <c r="N216" s="75">
        <f>'По терминалам'!N90</f>
        <v>2</v>
      </c>
      <c r="O216" s="75">
        <f>'По терминалам'!O90</f>
        <v>4</v>
      </c>
      <c r="P216" s="75">
        <f>'По терминалам'!P90</f>
        <v>0</v>
      </c>
      <c r="Q216" s="94" t="str">
        <f>'По терминалам'!Q90</f>
        <v>-</v>
      </c>
      <c r="Y216" s="173" t="str">
        <f>D215</f>
        <v>РЩГ-1 1НА05 защиты 1Т 2к</v>
      </c>
    </row>
    <row r="217" ht="28.5">
      <c r="B217" s="103">
        <v>215</v>
      </c>
      <c r="C217" s="314" t="s">
        <v>234</v>
      </c>
      <c r="D217" s="261" t="s">
        <v>323</v>
      </c>
      <c r="E217" s="65" t="str">
        <f>'По терминалам'!E211</f>
        <v>H551</v>
      </c>
      <c r="F217" s="263" t="s">
        <v>325</v>
      </c>
      <c r="G217" s="305" t="str">
        <f>'По терминалам'!G211</f>
        <v>-</v>
      </c>
      <c r="H217" s="306">
        <f>'По терминалам'!H211</f>
        <v>0</v>
      </c>
      <c r="I217" s="314">
        <f>'По терминалам'!I211</f>
        <v>0</v>
      </c>
      <c r="J217" s="65">
        <f>'По терминалам'!J211</f>
        <v>13</v>
      </c>
      <c r="K217" s="65">
        <f>'По терминалам'!K211</f>
        <v>0</v>
      </c>
      <c r="L217" s="65" t="str">
        <f>'По терминалам'!L211</f>
        <v>-</v>
      </c>
      <c r="M217" s="305" t="str">
        <f>'По терминалам'!M211</f>
        <v>Нет БИ</v>
      </c>
      <c r="N217" s="306">
        <f>'По терминалам'!N211</f>
        <v>0</v>
      </c>
      <c r="O217" s="306">
        <f>'По терминалам'!O211</f>
        <v>0</v>
      </c>
      <c r="P217" s="306">
        <f>'По терминалам'!P211</f>
        <v>0</v>
      </c>
      <c r="Q217" s="307">
        <f>'По терминалам'!Q211</f>
        <v>0</v>
      </c>
      <c r="S217" s="4" t="s">
        <v>397</v>
      </c>
      <c r="T217" s="5" t="s">
        <v>398</v>
      </c>
      <c r="U217" s="5" t="s">
        <v>399</v>
      </c>
      <c r="V217" s="5" t="s">
        <v>400</v>
      </c>
      <c r="W217" s="6" t="s">
        <v>401</v>
      </c>
      <c r="Y217" s="173" t="str">
        <f>D217</f>
        <v>ЯЗТ 1Т</v>
      </c>
    </row>
    <row r="218">
      <c r="B218" s="103">
        <v>216</v>
      </c>
      <c r="C218" s="315"/>
      <c r="D218" s="262"/>
      <c r="E218" s="63" t="str">
        <f>'По терминалам'!E212</f>
        <v>О551</v>
      </c>
      <c r="F218" s="264"/>
      <c r="G218" s="311">
        <f>'По терминалам'!G212</f>
        <v>0</v>
      </c>
      <c r="H218" s="312">
        <f>'По терминалам'!H212</f>
        <v>0</v>
      </c>
      <c r="I218" s="316">
        <f>'По терминалам'!I212</f>
        <v>0</v>
      </c>
      <c r="J218" s="63">
        <f>'По терминалам'!J212</f>
        <v>14</v>
      </c>
      <c r="K218" s="63">
        <f>'По терминалам'!K212</f>
        <v>0</v>
      </c>
      <c r="L218" s="63" t="str">
        <f>'По терминалам'!L212</f>
        <v>-</v>
      </c>
      <c r="M218" s="311">
        <f>'По терминалам'!M212</f>
        <v>0</v>
      </c>
      <c r="N218" s="312">
        <f>'По терминалам'!N212</f>
        <v>0</v>
      </c>
      <c r="O218" s="312">
        <f>'По терминалам'!O212</f>
        <v>0</v>
      </c>
      <c r="P218" s="312">
        <f>'По терминалам'!P212</f>
        <v>0</v>
      </c>
      <c r="Q218" s="313">
        <f>'По терминалам'!Q212</f>
        <v>0</v>
      </c>
      <c r="S218" s="8" t="s">
        <v>422</v>
      </c>
      <c r="T218" s="9"/>
      <c r="U218" s="9"/>
      <c r="V218" s="9"/>
      <c r="W218" s="10"/>
      <c r="Y218" s="173" t="str">
        <f>D217</f>
        <v>ЯЗТ 1Т</v>
      </c>
    </row>
    <row r="219">
      <c r="B219" s="103">
        <v>217</v>
      </c>
      <c r="C219" s="315"/>
      <c r="D219" s="261" t="s">
        <v>226</v>
      </c>
      <c r="E219" s="65" t="str">
        <f>'По терминалам'!E87</f>
        <v>H551</v>
      </c>
      <c r="F219" s="263" t="s">
        <v>114</v>
      </c>
      <c r="G219" s="65">
        <f>'По терминалам'!G87</f>
        <v>152</v>
      </c>
      <c r="H219" s="65">
        <f>'По терминалам'!H87</f>
        <v>0</v>
      </c>
      <c r="I219" s="65" t="str">
        <f>'По терминалам'!I87</f>
        <v>-</v>
      </c>
      <c r="J219" s="65">
        <f>'По терминалам'!J87</f>
        <v>153</v>
      </c>
      <c r="K219" s="65">
        <f>'По терминалам'!K87</f>
        <v>0</v>
      </c>
      <c r="L219" s="65" t="str">
        <f>'По терминалам'!L87</f>
        <v>-</v>
      </c>
      <c r="M219" s="303" t="str">
        <f>'По терминалам'!M87</f>
        <v>SG8</v>
      </c>
      <c r="N219" s="17">
        <f>'По терминалам'!N87</f>
        <v>2</v>
      </c>
      <c r="O219" s="17">
        <f>'По терминалам'!O87</f>
        <v>4</v>
      </c>
      <c r="P219" s="65">
        <f>'По терминалам'!P87</f>
        <v>0</v>
      </c>
      <c r="Q219" s="67" t="str">
        <f>'По терминалам'!Q87</f>
        <v>-</v>
      </c>
      <c r="Y219" s="173" t="str">
        <f>D219</f>
        <v>РЩГ-1 1НА05 защиты 1Т 2к</v>
      </c>
    </row>
    <row r="220">
      <c r="B220" s="103">
        <v>218</v>
      </c>
      <c r="C220" s="315"/>
      <c r="D220" s="262"/>
      <c r="E220" s="63" t="str">
        <f>'По терминалам'!E88</f>
        <v>О551</v>
      </c>
      <c r="F220" s="264"/>
      <c r="G220" s="63" t="str">
        <f>'По терминалам'!G88</f>
        <v>153а</v>
      </c>
      <c r="H220" s="63">
        <f>'По терминалам'!H88</f>
        <v>0</v>
      </c>
      <c r="I220" s="63" t="str">
        <f>'По терминалам'!I88</f>
        <v>-</v>
      </c>
      <c r="J220" s="63" t="str">
        <f>'По терминалам'!J88</f>
        <v>153а</v>
      </c>
      <c r="K220" s="63">
        <f>'По терминалам'!K88</f>
        <v>0</v>
      </c>
      <c r="L220" s="63" t="str">
        <f>'По терминалам'!L88</f>
        <v>-</v>
      </c>
      <c r="M220" s="304">
        <f>'По терминалам'!M88</f>
        <v>0</v>
      </c>
      <c r="N220" s="13">
        <f>'По терминалам'!N88</f>
        <v>2</v>
      </c>
      <c r="O220" s="13">
        <f>'По терминалам'!O88</f>
        <v>4</v>
      </c>
      <c r="P220" s="63">
        <f>'По терминалам'!P88</f>
        <v>0</v>
      </c>
      <c r="Q220" s="64" t="str">
        <f>'По терминалам'!Q88</f>
        <v>-</v>
      </c>
      <c r="Y220" s="173" t="str">
        <f>D219</f>
        <v>РЩГ-1 1НА05 защиты 1Т 2к</v>
      </c>
    </row>
    <row r="221">
      <c r="B221" s="103">
        <v>219</v>
      </c>
      <c r="C221" s="315"/>
      <c r="D221" s="261" t="s">
        <v>252</v>
      </c>
      <c r="E221" s="65" t="str">
        <f>'По терминалам'!E107</f>
        <v>H552</v>
      </c>
      <c r="F221" s="263" t="s">
        <v>105</v>
      </c>
      <c r="G221" s="65">
        <f>'По терминалам'!G107</f>
        <v>9</v>
      </c>
      <c r="H221" s="65">
        <f>'По терминалам'!H107</f>
        <v>0</v>
      </c>
      <c r="I221" s="65" t="str">
        <f>'По терминалам'!I107</f>
        <v>-</v>
      </c>
      <c r="J221" s="305" t="str">
        <f>'По терминалам'!J107</f>
        <v>-</v>
      </c>
      <c r="K221" s="306">
        <f>'По терминалам'!K107</f>
        <v>0</v>
      </c>
      <c r="L221" s="314">
        <f>'По терминалам'!L107</f>
        <v>0</v>
      </c>
      <c r="M221" s="303" t="str">
        <f>'По терминалам'!M107</f>
        <v>SG2</v>
      </c>
      <c r="N221" s="17">
        <f>'По терминалам'!N107</f>
        <v>2</v>
      </c>
      <c r="O221" s="17">
        <f>'По терминалам'!O107</f>
        <v>4</v>
      </c>
      <c r="P221" s="65">
        <f>'По терминалам'!P107</f>
        <v>0</v>
      </c>
      <c r="Q221" s="67" t="str">
        <f>'По терминалам'!Q107</f>
        <v>-</v>
      </c>
      <c r="Y221" s="173" t="str">
        <f>D221</f>
        <v>РЩГ-1 1НА13 РАС</v>
      </c>
    </row>
    <row r="222">
      <c r="B222" s="103">
        <v>220</v>
      </c>
      <c r="C222" s="316"/>
      <c r="D222" s="262"/>
      <c r="E222" s="63" t="str">
        <f>'По терминалам'!E108</f>
        <v>О551</v>
      </c>
      <c r="F222" s="264"/>
      <c r="G222" s="63">
        <f>'По терминалам'!G108</f>
        <v>10</v>
      </c>
      <c r="H222" s="63">
        <f>'По терминалам'!H108</f>
        <v>0</v>
      </c>
      <c r="I222" s="63" t="str">
        <f>'По терминалам'!I108</f>
        <v>-</v>
      </c>
      <c r="J222" s="311">
        <f>'По терминалам'!J108</f>
        <v>0</v>
      </c>
      <c r="K222" s="312">
        <f>'По терминалам'!K108</f>
        <v>0</v>
      </c>
      <c r="L222" s="316">
        <f>'По терминалам'!L108</f>
        <v>0</v>
      </c>
      <c r="M222" s="304">
        <f>'По терминалам'!M108</f>
        <v>0</v>
      </c>
      <c r="N222" s="13">
        <f>'По терминалам'!N108</f>
        <v>2</v>
      </c>
      <c r="O222" s="13">
        <f>'По терминалам'!O108</f>
        <v>4</v>
      </c>
      <c r="P222" s="63">
        <f>'По терминалам'!P108</f>
        <v>0</v>
      </c>
      <c r="Q222" s="64" t="str">
        <f>'По терминалам'!Q108</f>
        <v>-</v>
      </c>
      <c r="Y222" s="173" t="str">
        <f>D221</f>
        <v>РЩГ-1 1НА13 РАС</v>
      </c>
    </row>
    <row r="223" ht="28.5">
      <c r="B223" s="103">
        <v>221</v>
      </c>
      <c r="C223" s="292" t="s">
        <v>199</v>
      </c>
      <c r="D223" s="286" t="s">
        <v>323</v>
      </c>
      <c r="E223" s="73" t="str">
        <f>'По терминалам'!E213</f>
        <v>H561</v>
      </c>
      <c r="F223" s="289" t="s">
        <v>325</v>
      </c>
      <c r="G223" s="268" t="str">
        <f>'По терминалам'!G213</f>
        <v>-</v>
      </c>
      <c r="H223" s="269">
        <f>'По терминалам'!H213</f>
        <v>0</v>
      </c>
      <c r="I223" s="292">
        <f>'По терминалам'!I213</f>
        <v>0</v>
      </c>
      <c r="J223" s="73">
        <f>'По терминалам'!J213</f>
        <v>15</v>
      </c>
      <c r="K223" s="73">
        <f>'По терминалам'!K213</f>
        <v>0</v>
      </c>
      <c r="L223" s="73" t="str">
        <f>'По терминалам'!L213</f>
        <v>-</v>
      </c>
      <c r="M223" s="268" t="str">
        <f>'По терминалам'!M213</f>
        <v>Нет БИ</v>
      </c>
      <c r="N223" s="269">
        <f>'По терминалам'!N213</f>
        <v>0</v>
      </c>
      <c r="O223" s="269">
        <f>'По терминалам'!O213</f>
        <v>0</v>
      </c>
      <c r="P223" s="269">
        <f>'По терминалам'!P213</f>
        <v>0</v>
      </c>
      <c r="Q223" s="270">
        <f>'По терминалам'!Q213</f>
        <v>0</v>
      </c>
      <c r="S223" s="4" t="s">
        <v>397</v>
      </c>
      <c r="T223" s="5" t="s">
        <v>398</v>
      </c>
      <c r="U223" s="5" t="s">
        <v>399</v>
      </c>
      <c r="V223" s="5" t="s">
        <v>400</v>
      </c>
      <c r="W223" s="6" t="s">
        <v>401</v>
      </c>
      <c r="Y223" s="173" t="str">
        <f>D223</f>
        <v>ЯЗТ 1Т</v>
      </c>
    </row>
    <row r="224">
      <c r="B224" s="103">
        <v>222</v>
      </c>
      <c r="C224" s="293"/>
      <c r="D224" s="288"/>
      <c r="E224" s="75" t="str">
        <f>'По терминалам'!E214</f>
        <v>О561</v>
      </c>
      <c r="F224" s="291"/>
      <c r="G224" s="274">
        <f>'По терминалам'!G214</f>
        <v>0</v>
      </c>
      <c r="H224" s="275">
        <f>'По терминалам'!H214</f>
        <v>0</v>
      </c>
      <c r="I224" s="294">
        <f>'По терминалам'!I214</f>
        <v>0</v>
      </c>
      <c r="J224" s="75">
        <f>'По терминалам'!J214</f>
        <v>16</v>
      </c>
      <c r="K224" s="75">
        <f>'По терминалам'!K214</f>
        <v>0</v>
      </c>
      <c r="L224" s="75" t="str">
        <f>'По терминалам'!L214</f>
        <v>-</v>
      </c>
      <c r="M224" s="274">
        <f>'По терминалам'!M214</f>
        <v>0</v>
      </c>
      <c r="N224" s="275">
        <f>'По терминалам'!N214</f>
        <v>0</v>
      </c>
      <c r="O224" s="275">
        <f>'По терминалам'!O214</f>
        <v>0</v>
      </c>
      <c r="P224" s="275">
        <f>'По терминалам'!P214</f>
        <v>0</v>
      </c>
      <c r="Q224" s="276">
        <f>'По терминалам'!Q214</f>
        <v>0</v>
      </c>
      <c r="S224" s="8" t="s">
        <v>423</v>
      </c>
      <c r="T224" s="9"/>
      <c r="U224" s="9"/>
      <c r="V224" s="9"/>
      <c r="W224" s="10"/>
      <c r="Y224" s="173" t="str">
        <f>D223</f>
        <v>ЯЗТ 1Т</v>
      </c>
    </row>
    <row r="225">
      <c r="B225" s="103">
        <v>223</v>
      </c>
      <c r="C225" s="293"/>
      <c r="D225" s="286" t="s">
        <v>164</v>
      </c>
      <c r="E225" s="73" t="str">
        <f>'По терминалам'!E55</f>
        <v>H561</v>
      </c>
      <c r="F225" s="289" t="s">
        <v>114</v>
      </c>
      <c r="G225" s="73">
        <f>'По терминалам'!G55</f>
        <v>152</v>
      </c>
      <c r="H225" s="73">
        <f>'По терминалам'!H55</f>
        <v>0</v>
      </c>
      <c r="I225" s="73" t="str">
        <f>'По терминалам'!I55</f>
        <v>-</v>
      </c>
      <c r="J225" s="268" t="str">
        <f>'По терминалам'!J55</f>
        <v>-</v>
      </c>
      <c r="K225" s="269">
        <f>'По терминалам'!K55</f>
        <v>0</v>
      </c>
      <c r="L225" s="292">
        <f>'По терминалам'!L55</f>
        <v>0</v>
      </c>
      <c r="M225" s="265" t="str">
        <f>'По терминалам'!M55</f>
        <v>SG8</v>
      </c>
      <c r="N225" s="73">
        <f>'По терминалам'!N55</f>
        <v>2</v>
      </c>
      <c r="O225" s="73">
        <f>'По терминалам'!O55</f>
        <v>4</v>
      </c>
      <c r="P225" s="73">
        <f>'По терминалам'!P55</f>
        <v>0</v>
      </c>
      <c r="Q225" s="76" t="str">
        <f>'По терминалам'!Q55</f>
        <v>-</v>
      </c>
      <c r="Y225" s="173" t="str">
        <f>D225</f>
        <v>РЩГ-1 1НА04 защиты 1Т 1к</v>
      </c>
    </row>
    <row r="226">
      <c r="B226" s="103">
        <v>224</v>
      </c>
      <c r="C226" s="294"/>
      <c r="D226" s="288"/>
      <c r="E226" s="75" t="str">
        <f>'По терминалам'!E56</f>
        <v>О561</v>
      </c>
      <c r="F226" s="291"/>
      <c r="G226" s="75">
        <f>'По терминалам'!G56</f>
        <v>153</v>
      </c>
      <c r="H226" s="75">
        <f>'По терминалам'!H56</f>
        <v>0</v>
      </c>
      <c r="I226" s="75" t="str">
        <f>'По терминалам'!I56</f>
        <v>-</v>
      </c>
      <c r="J226" s="274">
        <f>'По терминалам'!J56</f>
        <v>0</v>
      </c>
      <c r="K226" s="275">
        <f>'По терминалам'!K56</f>
        <v>0</v>
      </c>
      <c r="L226" s="294">
        <f>'По терминалам'!L56</f>
        <v>0</v>
      </c>
      <c r="M226" s="267">
        <f>'По терминалам'!M56</f>
        <v>0</v>
      </c>
      <c r="N226" s="75">
        <f>'По терминалам'!N56</f>
        <v>2</v>
      </c>
      <c r="O226" s="75">
        <f>'По терминалам'!O56</f>
        <v>4</v>
      </c>
      <c r="P226" s="75">
        <f>'По терминалам'!P56</f>
        <v>0</v>
      </c>
      <c r="Q226" s="94" t="str">
        <f>'По терминалам'!Q56</f>
        <v>-</v>
      </c>
      <c r="Y226" s="173" t="str">
        <f>D225</f>
        <v>РЩГ-1 1НА04 защиты 1Т 1к</v>
      </c>
    </row>
    <row r="227" ht="28.5">
      <c r="B227" s="103">
        <v>225</v>
      </c>
      <c r="C227" s="314" t="s">
        <v>137</v>
      </c>
      <c r="D227" s="261" t="s">
        <v>316</v>
      </c>
      <c r="E227" s="65" t="str">
        <f>'По терминалам'!E197</f>
        <v>H571</v>
      </c>
      <c r="F227" s="263" t="s">
        <v>321</v>
      </c>
      <c r="G227" s="305" t="str">
        <f>'По терминалам'!G197</f>
        <v>-</v>
      </c>
      <c r="H227" s="306">
        <f>'По терминалам'!H197</f>
        <v>0</v>
      </c>
      <c r="I227" s="314">
        <f>'По терминалам'!I197</f>
        <v>0</v>
      </c>
      <c r="J227" s="65">
        <f>'По терминалам'!J197</f>
        <v>1</v>
      </c>
      <c r="K227" s="65">
        <f>'По терминалам'!K197</f>
        <v>0</v>
      </c>
      <c r="L227" s="65" t="str">
        <f>'По терминалам'!L197</f>
        <v>-</v>
      </c>
      <c r="M227" s="305" t="str">
        <f>'По терминалам'!M197</f>
        <v>Нет БИ</v>
      </c>
      <c r="N227" s="306">
        <f>'По терминалам'!N197</f>
        <v>0</v>
      </c>
      <c r="O227" s="306">
        <f>'По терминалам'!O197</f>
        <v>0</v>
      </c>
      <c r="P227" s="306">
        <f>'По терминалам'!P197</f>
        <v>0</v>
      </c>
      <c r="Q227" s="307">
        <f>'По терминалам'!Q197</f>
        <v>0</v>
      </c>
      <c r="S227" s="4" t="s">
        <v>397</v>
      </c>
      <c r="T227" s="5" t="s">
        <v>398</v>
      </c>
      <c r="U227" s="5" t="s">
        <v>399</v>
      </c>
      <c r="V227" s="5" t="s">
        <v>400</v>
      </c>
      <c r="W227" s="6" t="s">
        <v>401</v>
      </c>
      <c r="Y227" s="173" t="str">
        <f>D227</f>
        <v>ЯПТН</v>
      </c>
    </row>
    <row r="228">
      <c r="B228" s="103">
        <v>226</v>
      </c>
      <c r="C228" s="315"/>
      <c r="D228" s="262"/>
      <c r="E228" s="63" t="str">
        <f>'По терминалам'!E198</f>
        <v>О571</v>
      </c>
      <c r="F228" s="264"/>
      <c r="G228" s="311">
        <f>'По терминалам'!G198</f>
        <v>0</v>
      </c>
      <c r="H228" s="312">
        <f>'По терминалам'!H198</f>
        <v>0</v>
      </c>
      <c r="I228" s="316">
        <f>'По терминалам'!I198</f>
        <v>0</v>
      </c>
      <c r="J228" s="63">
        <f>'По терминалам'!J198</f>
        <v>2</v>
      </c>
      <c r="K228" s="63">
        <f>'По терминалам'!K198</f>
        <v>0</v>
      </c>
      <c r="L228" s="63" t="str">
        <f>'По терминалам'!L198</f>
        <v>-</v>
      </c>
      <c r="M228" s="311">
        <f>'По терминалам'!M198</f>
        <v>0</v>
      </c>
      <c r="N228" s="312">
        <f>'По терминалам'!N198</f>
        <v>0</v>
      </c>
      <c r="O228" s="312">
        <f>'По терминалам'!O198</f>
        <v>0</v>
      </c>
      <c r="P228" s="312">
        <f>'По терминалам'!P198</f>
        <v>0</v>
      </c>
      <c r="Q228" s="313">
        <f>'По терминалам'!Q198</f>
        <v>0</v>
      </c>
      <c r="S228" s="8" t="s">
        <v>424</v>
      </c>
      <c r="T228" s="9"/>
      <c r="U228" s="9"/>
      <c r="V228" s="9"/>
      <c r="W228" s="10"/>
      <c r="Y228" s="173" t="str">
        <f>D227</f>
        <v>ЯПТН</v>
      </c>
    </row>
    <row r="229">
      <c r="B229" s="103">
        <v>227</v>
      </c>
      <c r="C229" s="315"/>
      <c r="D229" s="261" t="s">
        <v>113</v>
      </c>
      <c r="E229" s="65" t="str">
        <f>'По терминалам'!E23</f>
        <v>H571</v>
      </c>
      <c r="F229" s="263" t="s">
        <v>114</v>
      </c>
      <c r="G229" s="65">
        <f>'По терминалам'!G23</f>
        <v>144</v>
      </c>
      <c r="H229" s="65">
        <f>'По терминалам'!H23</f>
        <v>0</v>
      </c>
      <c r="I229" s="65" t="str">
        <f>'По терминалам'!I23</f>
        <v>-</v>
      </c>
      <c r="J229" s="305" t="str">
        <f>'По терминалам'!J23</f>
        <v>-</v>
      </c>
      <c r="K229" s="306">
        <f>'По терминалам'!K23</f>
        <v>0</v>
      </c>
      <c r="L229" s="314">
        <f>'По терминалам'!L23</f>
        <v>0</v>
      </c>
      <c r="M229" s="303" t="str">
        <f>'По терминалам'!M23</f>
        <v>SG6</v>
      </c>
      <c r="N229" s="17">
        <f>'По терминалам'!N23</f>
        <v>2</v>
      </c>
      <c r="O229" s="65">
        <f>'По терминалам'!O23</f>
        <v>2</v>
      </c>
      <c r="P229" s="65">
        <f>'По терминалам'!P23</f>
        <v>0</v>
      </c>
      <c r="Q229" s="67" t="str">
        <f>'По терминалам'!Q23</f>
        <v>-</v>
      </c>
      <c r="Y229" s="173" t="str">
        <f>D229</f>
        <v>РЩГ-1 1НА01 защиты 1Г 1к</v>
      </c>
    </row>
    <row r="230">
      <c r="B230" s="103">
        <v>228</v>
      </c>
      <c r="C230" s="316"/>
      <c r="D230" s="262"/>
      <c r="E230" s="63" t="str">
        <f>'По терминалам'!E24</f>
        <v>О571</v>
      </c>
      <c r="F230" s="264"/>
      <c r="G230" s="63">
        <f>'По терминалам'!G24</f>
        <v>145</v>
      </c>
      <c r="H230" s="63">
        <f>'По терминалам'!H24</f>
        <v>0</v>
      </c>
      <c r="I230" s="63" t="str">
        <f>'По терминалам'!I24</f>
        <v>-</v>
      </c>
      <c r="J230" s="311">
        <f>'По терминалам'!J24</f>
        <v>0</v>
      </c>
      <c r="K230" s="312">
        <f>'По терминалам'!K24</f>
        <v>0</v>
      </c>
      <c r="L230" s="316">
        <f>'По терминалам'!L24</f>
        <v>0</v>
      </c>
      <c r="M230" s="304">
        <f>'По терминалам'!M24</f>
        <v>0</v>
      </c>
      <c r="N230" s="13">
        <f>'По терминалам'!N24</f>
        <v>2</v>
      </c>
      <c r="O230" s="63">
        <f>'По терминалам'!O24</f>
        <v>4</v>
      </c>
      <c r="P230" s="63">
        <f>'По терминалам'!P24</f>
        <v>0</v>
      </c>
      <c r="Q230" s="64" t="str">
        <f>'По терминалам'!Q24</f>
        <v>-</v>
      </c>
      <c r="Y230" s="173" t="str">
        <f>D229</f>
        <v>РЩГ-1 1НА01 защиты 1Г 1к</v>
      </c>
    </row>
    <row r="231" ht="28.5">
      <c r="B231" s="103">
        <v>229</v>
      </c>
      <c r="C231" s="292" t="s">
        <v>160</v>
      </c>
      <c r="D231" s="286" t="s">
        <v>316</v>
      </c>
      <c r="E231" s="73" t="str">
        <f>'По терминалам'!E199</f>
        <v>H581</v>
      </c>
      <c r="F231" s="289" t="s">
        <v>321</v>
      </c>
      <c r="G231" s="268" t="str">
        <f>'По терминалам'!G199</f>
        <v>-</v>
      </c>
      <c r="H231" s="269">
        <f>'По терминалам'!H199</f>
        <v>0</v>
      </c>
      <c r="I231" s="292">
        <f>'По терминалам'!I199</f>
        <v>0</v>
      </c>
      <c r="J231" s="73">
        <f>'По терминалам'!J199</f>
        <v>3</v>
      </c>
      <c r="K231" s="73">
        <f>'По терминалам'!K199</f>
        <v>0</v>
      </c>
      <c r="L231" s="73" t="str">
        <f>'По терминалам'!L199</f>
        <v>-</v>
      </c>
      <c r="M231" s="268" t="str">
        <f>'По терминалам'!M199</f>
        <v>Нет БИ</v>
      </c>
      <c r="N231" s="269">
        <f>'По терминалам'!N199</f>
        <v>0</v>
      </c>
      <c r="O231" s="269">
        <f>'По терминалам'!O199</f>
        <v>0</v>
      </c>
      <c r="P231" s="269">
        <f>'По терминалам'!P199</f>
        <v>0</v>
      </c>
      <c r="Q231" s="270">
        <f>'По терминалам'!Q199</f>
        <v>0</v>
      </c>
      <c r="S231" s="4" t="s">
        <v>397</v>
      </c>
      <c r="T231" s="5" t="s">
        <v>398</v>
      </c>
      <c r="U231" s="5" t="s">
        <v>399</v>
      </c>
      <c r="V231" s="5" t="s">
        <v>400</v>
      </c>
      <c r="W231" s="6" t="s">
        <v>401</v>
      </c>
      <c r="Y231" s="173" t="str">
        <f>D231</f>
        <v>ЯПТН</v>
      </c>
    </row>
    <row r="232">
      <c r="B232" s="103">
        <v>230</v>
      </c>
      <c r="C232" s="293"/>
      <c r="D232" s="288"/>
      <c r="E232" s="75" t="str">
        <f>'По терминалам'!E200</f>
        <v>О581</v>
      </c>
      <c r="F232" s="291"/>
      <c r="G232" s="274">
        <f>'По терминалам'!G200</f>
        <v>0</v>
      </c>
      <c r="H232" s="275">
        <f>'По терминалам'!H200</f>
        <v>0</v>
      </c>
      <c r="I232" s="294">
        <f>'По терминалам'!I200</f>
        <v>0</v>
      </c>
      <c r="J232" s="75">
        <f>'По терминалам'!J200</f>
        <v>4</v>
      </c>
      <c r="K232" s="75">
        <f>'По терминалам'!K200</f>
        <v>0</v>
      </c>
      <c r="L232" s="75" t="str">
        <f>'По терминалам'!L200</f>
        <v>-</v>
      </c>
      <c r="M232" s="274">
        <f>'По терминалам'!M200</f>
        <v>0</v>
      </c>
      <c r="N232" s="275">
        <f>'По терминалам'!N200</f>
        <v>0</v>
      </c>
      <c r="O232" s="275">
        <f>'По терминалам'!O200</f>
        <v>0</v>
      </c>
      <c r="P232" s="275">
        <f>'По терминалам'!P200</f>
        <v>0</v>
      </c>
      <c r="Q232" s="276">
        <f>'По терминалам'!Q200</f>
        <v>0</v>
      </c>
      <c r="S232" s="8" t="s">
        <v>425</v>
      </c>
      <c r="T232" s="9"/>
      <c r="U232" s="9"/>
      <c r="V232" s="9"/>
      <c r="W232" s="10"/>
      <c r="Y232" s="173" t="str">
        <f>D231</f>
        <v>ЯПТН</v>
      </c>
    </row>
    <row r="233">
      <c r="B233" s="103">
        <v>231</v>
      </c>
      <c r="C233" s="293"/>
      <c r="D233" s="286" t="s">
        <v>142</v>
      </c>
      <c r="E233" s="73" t="str">
        <f>'По терминалам'!E37</f>
        <v>H581</v>
      </c>
      <c r="F233" s="289" t="s">
        <v>114</v>
      </c>
      <c r="G233" s="73">
        <f>'По терминалам'!G37</f>
        <v>144</v>
      </c>
      <c r="H233" s="73">
        <f>'По терминалам'!H37</f>
        <v>0</v>
      </c>
      <c r="I233" s="73" t="str">
        <f>'По терминалам'!I37</f>
        <v>-</v>
      </c>
      <c r="J233" s="268" t="str">
        <f>'По терминалам'!J37</f>
        <v>-</v>
      </c>
      <c r="K233" s="269">
        <f>'По терминалам'!K37</f>
        <v>0</v>
      </c>
      <c r="L233" s="292">
        <f>'По терминалам'!L37</f>
        <v>0</v>
      </c>
      <c r="M233" s="265" t="str">
        <f>'По терминалам'!M37</f>
        <v>SG6</v>
      </c>
      <c r="N233" s="73">
        <f>'По терминалам'!N37</f>
        <v>2</v>
      </c>
      <c r="O233" s="73">
        <f>'По терминалам'!O37</f>
        <v>4</v>
      </c>
      <c r="P233" s="73">
        <f>'По терминалам'!P37</f>
        <v>0</v>
      </c>
      <c r="Q233" s="76" t="str">
        <f>'По терминалам'!Q37</f>
        <v>-</v>
      </c>
      <c r="Y233" s="173" t="str">
        <f>D233</f>
        <v>РЩГ-1 1НА02 защиты 1Г 2к</v>
      </c>
    </row>
    <row r="234">
      <c r="B234" s="103">
        <v>232</v>
      </c>
      <c r="C234" s="294"/>
      <c r="D234" s="288"/>
      <c r="E234" s="75" t="str">
        <f>'По терминалам'!E38</f>
        <v>О581</v>
      </c>
      <c r="F234" s="291"/>
      <c r="G234" s="75">
        <f>'По терминалам'!G38</f>
        <v>145</v>
      </c>
      <c r="H234" s="75">
        <f>'По терминалам'!H38</f>
        <v>0</v>
      </c>
      <c r="I234" s="75" t="str">
        <f>'По терминалам'!I38</f>
        <v>-</v>
      </c>
      <c r="J234" s="274">
        <f>'По терминалам'!J38</f>
        <v>0</v>
      </c>
      <c r="K234" s="275">
        <f>'По терминалам'!K38</f>
        <v>0</v>
      </c>
      <c r="L234" s="294">
        <f>'По терминалам'!L38</f>
        <v>0</v>
      </c>
      <c r="M234" s="267">
        <f>'По терминалам'!M38</f>
        <v>0</v>
      </c>
      <c r="N234" s="75">
        <f>'По терминалам'!N38</f>
        <v>2</v>
      </c>
      <c r="O234" s="75">
        <f>'По терминалам'!O38</f>
        <v>4</v>
      </c>
      <c r="P234" s="75">
        <f>'По терминалам'!P38</f>
        <v>0</v>
      </c>
      <c r="Q234" s="94" t="str">
        <f>'По терминалам'!Q38</f>
        <v>-</v>
      </c>
      <c r="Y234" s="173" t="str">
        <f>D233</f>
        <v>РЩГ-1 1НА02 защиты 1Г 2к</v>
      </c>
    </row>
    <row r="235" ht="28.5">
      <c r="B235" s="103">
        <v>233</v>
      </c>
      <c r="C235" s="314" t="s">
        <v>225</v>
      </c>
      <c r="D235" s="261" t="s">
        <v>333</v>
      </c>
      <c r="E235" s="65" t="str">
        <f>'По терминалам'!E223</f>
        <v>A411</v>
      </c>
      <c r="F235" s="263" t="s">
        <v>24</v>
      </c>
      <c r="G235" s="305" t="str">
        <f>'По терминалам'!G223</f>
        <v>-</v>
      </c>
      <c r="H235" s="306">
        <f>'По терминалам'!H223</f>
        <v>0</v>
      </c>
      <c r="I235" s="314">
        <f>'По терминалам'!I223</f>
        <v>0</v>
      </c>
      <c r="J235" s="22" t="str">
        <f>'По терминалам'!J223</f>
        <v>X109</v>
      </c>
      <c r="K235" s="65">
        <f>'По терминалам'!K223</f>
        <v>0</v>
      </c>
      <c r="L235" s="65">
        <f>'По терминалам'!L223</f>
        <v>0</v>
      </c>
      <c r="M235" s="305" t="str">
        <f>'По терминалам'!M223</f>
        <v>Нет БИ</v>
      </c>
      <c r="N235" s="306">
        <f>'По терминалам'!N223</f>
        <v>0</v>
      </c>
      <c r="O235" s="306">
        <f>'По терминалам'!O223</f>
        <v>0</v>
      </c>
      <c r="P235" s="306">
        <f>'По терминалам'!P223</f>
        <v>0</v>
      </c>
      <c r="Q235" s="307">
        <f>'По терминалам'!Q223</f>
        <v>0</v>
      </c>
      <c r="S235" s="4" t="s">
        <v>397</v>
      </c>
      <c r="T235" s="5" t="s">
        <v>398</v>
      </c>
      <c r="U235" s="5" t="s">
        <v>399</v>
      </c>
      <c r="V235" s="5" t="s">
        <v>400</v>
      </c>
      <c r="W235" s="6" t="s">
        <v>401</v>
      </c>
      <c r="Y235" s="173" t="str">
        <f>D235</f>
        <v>Шкаф ВЛБ-13</v>
      </c>
    </row>
    <row r="236">
      <c r="B236" s="103">
        <v>234</v>
      </c>
      <c r="C236" s="315"/>
      <c r="D236" s="326"/>
      <c r="E236" s="66" t="str">
        <f>'По терминалам'!E224</f>
        <v>B411</v>
      </c>
      <c r="F236" s="337"/>
      <c r="G236" s="308">
        <f>'По терминалам'!G224</f>
        <v>0</v>
      </c>
      <c r="H236" s="309">
        <f>'По терминалам'!H224</f>
        <v>0</v>
      </c>
      <c r="I236" s="315">
        <f>'По терминалам'!I224</f>
        <v>0</v>
      </c>
      <c r="J236" s="18" t="str">
        <f>'По терминалам'!J224</f>
        <v>X110</v>
      </c>
      <c r="K236" s="66">
        <f>'По терминалам'!K224</f>
        <v>0</v>
      </c>
      <c r="L236" s="66">
        <f>'По терминалам'!L224</f>
        <v>0</v>
      </c>
      <c r="M236" s="308">
        <f>'По терминалам'!M224</f>
        <v>0</v>
      </c>
      <c r="N236" s="309">
        <f>'По терминалам'!N224</f>
        <v>0</v>
      </c>
      <c r="O236" s="309">
        <f>'По терминалам'!O224</f>
        <v>0</v>
      </c>
      <c r="P236" s="309">
        <f>'По терминалам'!P224</f>
        <v>0</v>
      </c>
      <c r="Q236" s="310">
        <f>'По терминалам'!Q224</f>
        <v>0</v>
      </c>
      <c r="S236" s="8" t="s">
        <v>426</v>
      </c>
      <c r="T236" s="9" t="s">
        <v>402</v>
      </c>
      <c r="U236" s="9" t="s">
        <v>406</v>
      </c>
      <c r="V236" s="9"/>
      <c r="W236" s="10"/>
      <c r="Y236" s="173" t="str">
        <f>D235</f>
        <v>Шкаф ВЛБ-13</v>
      </c>
    </row>
    <row r="237">
      <c r="B237" s="103">
        <v>235</v>
      </c>
      <c r="C237" s="315"/>
      <c r="D237" s="326"/>
      <c r="E237" s="12" t="str">
        <f>'По терминалам'!E225</f>
        <v>C411</v>
      </c>
      <c r="F237" s="337"/>
      <c r="G237" s="308">
        <f>'По терминалам'!G225</f>
        <v>0</v>
      </c>
      <c r="H237" s="309">
        <f>'По терминалам'!H225</f>
        <v>0</v>
      </c>
      <c r="I237" s="315">
        <f>'По терминалам'!I225</f>
        <v>0</v>
      </c>
      <c r="J237" s="18" t="str">
        <f>'По терминалам'!J225</f>
        <v>X111</v>
      </c>
      <c r="K237" s="66">
        <f>'По терминалам'!K225</f>
        <v>0</v>
      </c>
      <c r="L237" s="66">
        <f>'По терминалам'!L225</f>
        <v>0</v>
      </c>
      <c r="M237" s="308">
        <f>'По терминалам'!M225</f>
        <v>0</v>
      </c>
      <c r="N237" s="309">
        <f>'По терминалам'!N225</f>
        <v>0</v>
      </c>
      <c r="O237" s="309">
        <f>'По терминалам'!O225</f>
        <v>0</v>
      </c>
      <c r="P237" s="309">
        <f>'По терминалам'!P225</f>
        <v>0</v>
      </c>
      <c r="Q237" s="310">
        <f>'По терминалам'!Q225</f>
        <v>0</v>
      </c>
      <c r="Y237" s="173" t="str">
        <f>D235</f>
        <v>Шкаф ВЛБ-13</v>
      </c>
    </row>
    <row r="238" ht="45">
      <c r="B238" s="103">
        <v>236</v>
      </c>
      <c r="C238" s="315"/>
      <c r="D238" s="262"/>
      <c r="E238" s="13" t="str">
        <f>'По терминалам'!E226</f>
        <v>N411</v>
      </c>
      <c r="F238" s="264"/>
      <c r="G238" s="311">
        <f>'По терминалам'!G226</f>
        <v>0</v>
      </c>
      <c r="H238" s="312">
        <f>'По терминалам'!H226</f>
        <v>0</v>
      </c>
      <c r="I238" s="316">
        <f>'По терминалам'!I226</f>
        <v>0</v>
      </c>
      <c r="J238" s="24" t="str">
        <f>'По терминалам'!J226</f>
        <v>X114 X112 X113</v>
      </c>
      <c r="K238" s="63">
        <f>'По терминалам'!K226</f>
        <v>0</v>
      </c>
      <c r="L238" s="63">
        <f>'По терминалам'!L226</f>
        <v>0</v>
      </c>
      <c r="M238" s="311">
        <f>'По терминалам'!M226</f>
        <v>0</v>
      </c>
      <c r="N238" s="312">
        <f>'По терминалам'!N226</f>
        <v>0</v>
      </c>
      <c r="O238" s="312">
        <f>'По терминалам'!O226</f>
        <v>0</v>
      </c>
      <c r="P238" s="312">
        <f>'По терминалам'!P226</f>
        <v>0</v>
      </c>
      <c r="Q238" s="313">
        <f>'По терминалам'!Q226</f>
        <v>0</v>
      </c>
      <c r="Y238" s="173" t="str">
        <f>D235</f>
        <v>Шкаф ВЛБ-13</v>
      </c>
    </row>
    <row r="239">
      <c r="B239" s="103">
        <v>237</v>
      </c>
      <c r="C239" s="315"/>
      <c r="D239" s="261" t="s">
        <v>226</v>
      </c>
      <c r="E239" s="65" t="str">
        <f>'По терминалам'!E71</f>
        <v>A411</v>
      </c>
      <c r="F239" s="303" t="s">
        <v>24</v>
      </c>
      <c r="G239" s="65" t="str">
        <f>'По терминалам'!G71</f>
        <v>X120</v>
      </c>
      <c r="H239" s="65">
        <f>'По терминалам'!H71</f>
        <v>0</v>
      </c>
      <c r="I239" s="65">
        <f>'По терминалам'!I71</f>
        <v>0</v>
      </c>
      <c r="J239" s="22" t="str">
        <f>'По терминалам'!J71</f>
        <v>X124</v>
      </c>
      <c r="K239" s="65">
        <f>'По терминалам'!K71</f>
        <v>0</v>
      </c>
      <c r="L239" s="65">
        <f>'По терминалам'!L71</f>
        <v>0</v>
      </c>
      <c r="M239" s="303" t="str">
        <f>'По терминалам'!M71</f>
        <v>SG4</v>
      </c>
      <c r="N239" s="36">
        <f>'По терминалам'!N71</f>
        <v>2</v>
      </c>
      <c r="O239" s="65">
        <f>'По терминалам'!O71</f>
        <v>4</v>
      </c>
      <c r="P239" s="65">
        <f>'По терминалам'!P71</f>
        <v>32</v>
      </c>
      <c r="Q239" s="32" t="str">
        <f>'По терминалам'!Q71</f>
        <v>163L</v>
      </c>
      <c r="Y239" s="173" t="str">
        <f>D239</f>
        <v>РЩГ-1 1НА05 защиты 1Т 2к</v>
      </c>
    </row>
    <row r="240">
      <c r="B240" s="103">
        <v>238</v>
      </c>
      <c r="C240" s="315"/>
      <c r="D240" s="326"/>
      <c r="E240" s="66" t="str">
        <f>'По терминалам'!E72</f>
        <v>B411</v>
      </c>
      <c r="F240" s="317"/>
      <c r="G240" s="66" t="str">
        <f>'По терминалам'!G72</f>
        <v>X121</v>
      </c>
      <c r="H240" s="66">
        <f>'По терминалам'!H72</f>
        <v>0</v>
      </c>
      <c r="I240" s="66">
        <f>'По терминалам'!I72</f>
        <v>0</v>
      </c>
      <c r="J240" s="18" t="str">
        <f>'По терминалам'!J72</f>
        <v>X125</v>
      </c>
      <c r="K240" s="66">
        <f>'По терминалам'!K72</f>
        <v>0</v>
      </c>
      <c r="L240" s="66">
        <f>'По терминалам'!L72</f>
        <v>0</v>
      </c>
      <c r="M240" s="317">
        <f>'По терминалам'!M72</f>
        <v>0</v>
      </c>
      <c r="N240" s="37">
        <f>'По терминалам'!N72</f>
        <v>6</v>
      </c>
      <c r="O240" s="66">
        <f>'По терминалам'!O72</f>
        <v>8</v>
      </c>
      <c r="P240" s="66">
        <f>'По терминалам'!P72</f>
        <v>33</v>
      </c>
      <c r="Q240" s="33" t="str">
        <f>'По терминалам'!Q72</f>
        <v>77C</v>
      </c>
      <c r="Y240" s="173" t="str">
        <f>D239</f>
        <v>РЩГ-1 1НА05 защиты 1Т 2к</v>
      </c>
    </row>
    <row r="241">
      <c r="B241" s="103">
        <v>239</v>
      </c>
      <c r="C241" s="315"/>
      <c r="D241" s="326"/>
      <c r="E241" s="12" t="str">
        <f>'По терминалам'!E73</f>
        <v>C411</v>
      </c>
      <c r="F241" s="317"/>
      <c r="G241" s="66" t="str">
        <f>'По терминалам'!G73</f>
        <v>X122</v>
      </c>
      <c r="H241" s="66">
        <f>'По терминалам'!H73</f>
        <v>0</v>
      </c>
      <c r="I241" s="66">
        <f>'По терминалам'!I73</f>
        <v>0</v>
      </c>
      <c r="J241" s="18" t="str">
        <f>'По терминалам'!J73</f>
        <v>X126</v>
      </c>
      <c r="K241" s="66">
        <f>'По терминалам'!K73</f>
        <v>0</v>
      </c>
      <c r="L241" s="66">
        <f>'По терминалам'!L73</f>
        <v>0</v>
      </c>
      <c r="M241" s="317">
        <f>'По терминалам'!M73</f>
        <v>0</v>
      </c>
      <c r="N241" s="37">
        <f>'По терминалам'!N73</f>
        <v>10</v>
      </c>
      <c r="O241" s="66">
        <f>'По терминалам'!O73</f>
        <v>12</v>
      </c>
      <c r="P241" s="66">
        <f>'По терминалам'!P73</f>
        <v>33</v>
      </c>
      <c r="Q241" s="33" t="str">
        <f>'По терминалам'!Q73</f>
        <v>45L</v>
      </c>
      <c r="Y241" s="173" t="str">
        <f>D239</f>
        <v>РЩГ-1 1НА05 защиты 1Т 2к</v>
      </c>
    </row>
    <row r="242">
      <c r="B242" s="103">
        <v>240</v>
      </c>
      <c r="C242" s="315"/>
      <c r="D242" s="262"/>
      <c r="E242" s="13" t="str">
        <f>'По терминалам'!E74</f>
        <v>N411</v>
      </c>
      <c r="F242" s="304"/>
      <c r="G242" s="13" t="str">
        <f>'По терминалам'!G74</f>
        <v>X123</v>
      </c>
      <c r="H242" s="13">
        <f>'По терминалам'!H74</f>
        <v>0</v>
      </c>
      <c r="I242" s="13">
        <f>'По терминалам'!I74</f>
        <v>0</v>
      </c>
      <c r="J242" s="62" t="str">
        <f>'По терминалам'!J74</f>
        <v>X123</v>
      </c>
      <c r="K242" s="13">
        <f>'По терминалам'!K74</f>
        <v>0</v>
      </c>
      <c r="L242" s="13">
        <f>'По терминалам'!L74</f>
        <v>0</v>
      </c>
      <c r="M242" s="304">
        <f>'По терминалам'!M74</f>
        <v>0</v>
      </c>
      <c r="N242" s="277" t="str">
        <f>'По терминалам'!N74</f>
        <v>-</v>
      </c>
      <c r="O242" s="278">
        <f>'По терминалам'!O74</f>
        <v>0</v>
      </c>
      <c r="P242" s="327">
        <f>'По терминалам'!P74</f>
        <v>0</v>
      </c>
      <c r="Q242" s="35">
        <f>'По терминалам'!Q74</f>
        <v>0</v>
      </c>
      <c r="Y242" s="173" t="str">
        <f>D239</f>
        <v>РЩГ-1 1НА05 защиты 1Т 2к</v>
      </c>
    </row>
    <row r="243">
      <c r="B243" s="103">
        <v>241</v>
      </c>
      <c r="C243" s="315"/>
      <c r="D243" s="261" t="s">
        <v>377</v>
      </c>
      <c r="E243" s="65" t="str">
        <f>'По терминалам'!E255</f>
        <v>А412</v>
      </c>
      <c r="F243" s="303" t="s">
        <v>359</v>
      </c>
      <c r="G243" s="17" t="str">
        <f>'По терминалам'!G255</f>
        <v>01XC1</v>
      </c>
      <c r="H243" s="17">
        <f>'По терминалам'!H255</f>
        <v>0</v>
      </c>
      <c r="I243" s="17">
        <f>'По терминалам'!I255</f>
        <v>0</v>
      </c>
      <c r="J243" s="36" t="str">
        <f>'По терминалам'!J255</f>
        <v>01XC5</v>
      </c>
      <c r="K243" s="17">
        <f>'По терминалам'!K255</f>
        <v>0</v>
      </c>
      <c r="L243" s="17">
        <f>'По терминалам'!L255</f>
        <v>0</v>
      </c>
      <c r="M243" s="303" t="str">
        <f>'По терминалам'!M255</f>
        <v>SGA1</v>
      </c>
      <c r="N243" s="36">
        <f>'По терминалам'!N255</f>
        <v>2</v>
      </c>
      <c r="O243" s="65">
        <f>'По терминалам'!O255</f>
        <v>4</v>
      </c>
      <c r="P243" s="65">
        <f>'По терминалам'!P255</f>
        <v>0</v>
      </c>
      <c r="Q243" s="32">
        <f>'По терминалам'!Q255</f>
        <v>0</v>
      </c>
      <c r="Y243" s="173" t="str">
        <f>D243</f>
        <v>БВС-1 Шкаф 40Р ДЗО 2к</v>
      </c>
    </row>
    <row r="244">
      <c r="B244" s="103">
        <v>242</v>
      </c>
      <c r="C244" s="315"/>
      <c r="D244" s="326"/>
      <c r="E244" s="66" t="str">
        <f>'По терминалам'!E256</f>
        <v>В412</v>
      </c>
      <c r="F244" s="317"/>
      <c r="G244" s="12" t="str">
        <f>'По терминалам'!G256</f>
        <v>01XC2</v>
      </c>
      <c r="H244" s="12">
        <f>'По терминалам'!H256</f>
        <v>0</v>
      </c>
      <c r="I244" s="12">
        <f>'По терминалам'!I256</f>
        <v>0</v>
      </c>
      <c r="J244" s="37" t="str">
        <f>'По терминалам'!J256</f>
        <v>01XC6</v>
      </c>
      <c r="K244" s="12">
        <f>'По терминалам'!K256</f>
        <v>0</v>
      </c>
      <c r="L244" s="12">
        <f>'По терминалам'!L256</f>
        <v>0</v>
      </c>
      <c r="M244" s="317">
        <f>'По терминалам'!M256</f>
        <v>0</v>
      </c>
      <c r="N244" s="37">
        <f>'По терминалам'!N256</f>
        <v>6</v>
      </c>
      <c r="O244" s="66">
        <f>'По терминалам'!O256</f>
        <v>8</v>
      </c>
      <c r="P244" s="66">
        <f>'По терминалам'!P256</f>
        <v>0</v>
      </c>
      <c r="Q244" s="33">
        <f>'По терминалам'!Q256</f>
        <v>0</v>
      </c>
      <c r="Y244" s="173" t="str">
        <f>D243</f>
        <v>БВС-1 Шкаф 40Р ДЗО 2к</v>
      </c>
    </row>
    <row r="245">
      <c r="B245" s="103">
        <v>243</v>
      </c>
      <c r="C245" s="315"/>
      <c r="D245" s="326"/>
      <c r="E245" s="12" t="str">
        <f>'По терминалам'!E257</f>
        <v>С412</v>
      </c>
      <c r="F245" s="317"/>
      <c r="G245" s="12" t="str">
        <f>'По терминалам'!G257</f>
        <v>01XC3</v>
      </c>
      <c r="H245" s="12">
        <f>'По терминалам'!H257</f>
        <v>0</v>
      </c>
      <c r="I245" s="12">
        <f>'По терминалам'!I257</f>
        <v>0</v>
      </c>
      <c r="J245" s="37" t="str">
        <f>'По терминалам'!J257</f>
        <v>01XC7</v>
      </c>
      <c r="K245" s="12">
        <f>'По терминалам'!K257</f>
        <v>0</v>
      </c>
      <c r="L245" s="12">
        <f>'По терминалам'!L257</f>
        <v>0</v>
      </c>
      <c r="M245" s="317">
        <f>'По терминалам'!M257</f>
        <v>0</v>
      </c>
      <c r="N245" s="37">
        <f>'По терминалам'!N257</f>
        <v>10</v>
      </c>
      <c r="O245" s="66">
        <f>'По терминалам'!O257</f>
        <v>12</v>
      </c>
      <c r="P245" s="66">
        <f>'По терминалам'!P257</f>
        <v>0</v>
      </c>
      <c r="Q245" s="33">
        <f>'По терминалам'!Q257</f>
        <v>0</v>
      </c>
      <c r="Y245" s="173" t="str">
        <f>D243</f>
        <v>БВС-1 Шкаф 40Р ДЗО 2к</v>
      </c>
    </row>
    <row r="246">
      <c r="B246" s="103">
        <v>244</v>
      </c>
      <c r="C246" s="315"/>
      <c r="D246" s="262"/>
      <c r="E246" s="13" t="str">
        <f>'По терминалам'!E258</f>
        <v>N412</v>
      </c>
      <c r="F246" s="304"/>
      <c r="G246" s="13" t="str">
        <f>'По терминалам'!G258</f>
        <v>01XC4</v>
      </c>
      <c r="H246" s="13">
        <f>'По терминалам'!H258</f>
        <v>0</v>
      </c>
      <c r="I246" s="13">
        <f>'По терминалам'!I258</f>
        <v>0</v>
      </c>
      <c r="J246" s="62" t="str">
        <f>'По терминалам'!J258</f>
        <v>01XC8</v>
      </c>
      <c r="K246" s="13">
        <f>'По терминалам'!K258</f>
        <v>0</v>
      </c>
      <c r="L246" s="13">
        <f>'По терминалам'!L258</f>
        <v>0</v>
      </c>
      <c r="M246" s="304">
        <f>'По терминалам'!M258</f>
        <v>0</v>
      </c>
      <c r="N246" s="277" t="str">
        <f>'По терминалам'!N258</f>
        <v>-</v>
      </c>
      <c r="O246" s="278">
        <f>'По терминалам'!O258</f>
        <v>0</v>
      </c>
      <c r="P246" s="327">
        <f>'По терминалам'!P258</f>
        <v>0</v>
      </c>
      <c r="Q246" s="35">
        <f>'По терминалам'!Q258</f>
        <v>0</v>
      </c>
      <c r="Y246" s="173" t="str">
        <f>D243</f>
        <v>БВС-1 Шкаф 40Р ДЗО 2к</v>
      </c>
    </row>
    <row r="247">
      <c r="B247" s="103">
        <v>245</v>
      </c>
      <c r="C247" s="315"/>
      <c r="D247" s="261" t="s">
        <v>340</v>
      </c>
      <c r="E247" s="65" t="str">
        <f>'По терминалам'!E231</f>
        <v>А413</v>
      </c>
      <c r="F247" s="303" t="s">
        <v>24</v>
      </c>
      <c r="G247" s="17" t="str">
        <f>'По терминалам'!G231</f>
        <v>X141</v>
      </c>
      <c r="H247" s="17">
        <f>'По терминалам'!H231</f>
        <v>0</v>
      </c>
      <c r="I247" s="17">
        <f>'По терминалам'!I231</f>
        <v>0</v>
      </c>
      <c r="J247" s="328" t="str">
        <f>'По терминалам'!J231</f>
        <v>-</v>
      </c>
      <c r="K247" s="329">
        <f>'По терминалам'!K231</f>
        <v>0</v>
      </c>
      <c r="L247" s="330">
        <f>'По терминалам'!L231</f>
        <v>0</v>
      </c>
      <c r="M247" s="303">
        <f>'По терминалам'!M231</f>
        <v>0</v>
      </c>
      <c r="N247" s="36">
        <f>'По терминалам'!N231</f>
        <v>0</v>
      </c>
      <c r="O247" s="65">
        <f>'По терминалам'!O231</f>
        <v>0</v>
      </c>
      <c r="P247" s="65">
        <f>'По терминалам'!P231</f>
        <v>0</v>
      </c>
      <c r="Q247" s="32">
        <f>'По терминалам'!Q231</f>
        <v>0</v>
      </c>
      <c r="Y247" s="173" t="str">
        <f>D247</f>
        <v>БВС-1 Шкаф ДЗШ 500 кВ</v>
      </c>
    </row>
    <row r="248">
      <c r="B248" s="103">
        <v>246</v>
      </c>
      <c r="C248" s="315"/>
      <c r="D248" s="326"/>
      <c r="E248" s="66" t="str">
        <f>'По терминалам'!E232</f>
        <v>В413</v>
      </c>
      <c r="F248" s="317"/>
      <c r="G248" s="12" t="str">
        <f>'По терминалам'!G232</f>
        <v>X142</v>
      </c>
      <c r="H248" s="12">
        <f>'По терминалам'!H232</f>
        <v>0</v>
      </c>
      <c r="I248" s="12">
        <f>'По терминалам'!I232</f>
        <v>0</v>
      </c>
      <c r="J248" s="331">
        <f>'По терминалам'!J232</f>
        <v>0</v>
      </c>
      <c r="K248" s="332">
        <f>'По терминалам'!K232</f>
        <v>0</v>
      </c>
      <c r="L248" s="333">
        <f>'По терминалам'!L232</f>
        <v>0</v>
      </c>
      <c r="M248" s="317">
        <f>'По терминалам'!M232</f>
        <v>0</v>
      </c>
      <c r="N248" s="37">
        <f>'По терминалам'!N232</f>
        <v>0</v>
      </c>
      <c r="O248" s="66">
        <f>'По терминалам'!O232</f>
        <v>0</v>
      </c>
      <c r="P248" s="66">
        <f>'По терминалам'!P232</f>
        <v>0</v>
      </c>
      <c r="Q248" s="33">
        <f>'По терминалам'!Q232</f>
        <v>0</v>
      </c>
      <c r="Y248" s="173" t="str">
        <f>D247</f>
        <v>БВС-1 Шкаф ДЗШ 500 кВ</v>
      </c>
    </row>
    <row r="249">
      <c r="B249" s="103">
        <v>247</v>
      </c>
      <c r="C249" s="315"/>
      <c r="D249" s="326"/>
      <c r="E249" s="12" t="str">
        <f>'По терминалам'!E233</f>
        <v>С413</v>
      </c>
      <c r="F249" s="317"/>
      <c r="G249" s="12" t="str">
        <f>'По терминалам'!G233</f>
        <v>X143</v>
      </c>
      <c r="H249" s="12">
        <f>'По терминалам'!H233</f>
        <v>0</v>
      </c>
      <c r="I249" s="12">
        <f>'По терминалам'!I233</f>
        <v>0</v>
      </c>
      <c r="J249" s="331">
        <f>'По терминалам'!J233</f>
        <v>0</v>
      </c>
      <c r="K249" s="332">
        <f>'По терминалам'!K233</f>
        <v>0</v>
      </c>
      <c r="L249" s="333">
        <f>'По терминалам'!L233</f>
        <v>0</v>
      </c>
      <c r="M249" s="317">
        <f>'По терминалам'!M233</f>
        <v>0</v>
      </c>
      <c r="N249" s="37">
        <f>'По терминалам'!N233</f>
        <v>0</v>
      </c>
      <c r="O249" s="66">
        <f>'По терминалам'!O233</f>
        <v>0</v>
      </c>
      <c r="P249" s="66">
        <f>'По терминалам'!P233</f>
        <v>0</v>
      </c>
      <c r="Q249" s="33">
        <f>'По терминалам'!Q233</f>
        <v>0</v>
      </c>
      <c r="Y249" s="173" t="str">
        <f>D247</f>
        <v>БВС-1 Шкаф ДЗШ 500 кВ</v>
      </c>
    </row>
    <row r="250">
      <c r="B250" s="103">
        <v>248</v>
      </c>
      <c r="C250" s="316"/>
      <c r="D250" s="262"/>
      <c r="E250" s="13" t="str">
        <f>'По терминалам'!E234</f>
        <v>N413</v>
      </c>
      <c r="F250" s="304"/>
      <c r="G250" s="13" t="str">
        <f>'По терминалам'!G234</f>
        <v>X144</v>
      </c>
      <c r="H250" s="13">
        <f>'По терминалам'!H234</f>
        <v>0</v>
      </c>
      <c r="I250" s="13">
        <f>'По терминалам'!I234</f>
        <v>0</v>
      </c>
      <c r="J250" s="334">
        <f>'По терминалам'!J234</f>
        <v>0</v>
      </c>
      <c r="K250" s="335">
        <f>'По терминалам'!K234</f>
        <v>0</v>
      </c>
      <c r="L250" s="336">
        <f>'По терминалам'!L234</f>
        <v>0</v>
      </c>
      <c r="M250" s="304">
        <f>'По терминалам'!M234</f>
        <v>0</v>
      </c>
      <c r="N250" s="277" t="str">
        <f>'По терминалам'!N234</f>
        <v>-</v>
      </c>
      <c r="O250" s="278">
        <f>'По терминалам'!O234</f>
        <v>0</v>
      </c>
      <c r="P250" s="278">
        <f>'По терминалам'!P234</f>
        <v>0</v>
      </c>
      <c r="Q250" s="279">
        <f>'По терминалам'!Q234</f>
        <v>0</v>
      </c>
      <c r="Y250" s="173" t="str">
        <f>D247</f>
        <v>БВС-1 Шкаф ДЗШ 500 кВ</v>
      </c>
    </row>
    <row r="251" ht="28.5">
      <c r="B251" s="103">
        <v>249</v>
      </c>
      <c r="C251" s="292" t="s">
        <v>227</v>
      </c>
      <c r="D251" s="286" t="s">
        <v>333</v>
      </c>
      <c r="E251" s="73" t="str">
        <f>'По терминалам'!E227</f>
        <v>A481</v>
      </c>
      <c r="F251" s="289" t="s">
        <v>24</v>
      </c>
      <c r="G251" s="268" t="str">
        <f>'По терминалам'!G227</f>
        <v>-</v>
      </c>
      <c r="H251" s="269">
        <f>'По терминалам'!H227</f>
        <v>0</v>
      </c>
      <c r="I251" s="292">
        <f>'По терминалам'!I227</f>
        <v>0</v>
      </c>
      <c r="J251" s="95" t="str">
        <f>'По терминалам'!J227</f>
        <v>X109</v>
      </c>
      <c r="K251" s="73">
        <f>'По терминалам'!K227</f>
        <v>0</v>
      </c>
      <c r="L251" s="73">
        <f>'По терминалам'!L227</f>
        <v>0</v>
      </c>
      <c r="M251" s="268" t="str">
        <f>'По терминалам'!M227</f>
        <v>Нет БИ</v>
      </c>
      <c r="N251" s="269">
        <f>'По терминалам'!N227</f>
        <v>0</v>
      </c>
      <c r="O251" s="269">
        <f>'По терминалам'!O227</f>
        <v>0</v>
      </c>
      <c r="P251" s="269">
        <f>'По терминалам'!P227</f>
        <v>0</v>
      </c>
      <c r="Q251" s="270">
        <f>'По терминалам'!Q227</f>
        <v>0</v>
      </c>
      <c r="S251" s="4" t="s">
        <v>397</v>
      </c>
      <c r="T251" s="5" t="s">
        <v>398</v>
      </c>
      <c r="U251" s="5" t="s">
        <v>399</v>
      </c>
      <c r="V251" s="5" t="s">
        <v>400</v>
      </c>
      <c r="W251" s="6" t="s">
        <v>401</v>
      </c>
      <c r="Y251" s="173" t="str">
        <f>D251</f>
        <v>Шкаф ВЛБ-13</v>
      </c>
    </row>
    <row r="252">
      <c r="B252" s="103">
        <v>250</v>
      </c>
      <c r="C252" s="293"/>
      <c r="D252" s="287"/>
      <c r="E252" s="74" t="str">
        <f>'По терминалам'!E228</f>
        <v>B481</v>
      </c>
      <c r="F252" s="290"/>
      <c r="G252" s="271">
        <f>'По терминалам'!G228</f>
        <v>0</v>
      </c>
      <c r="H252" s="272">
        <f>'По терминалам'!H228</f>
        <v>0</v>
      </c>
      <c r="I252" s="293">
        <f>'По терминалам'!I228</f>
        <v>0</v>
      </c>
      <c r="J252" s="96" t="str">
        <f>'По терминалам'!J228</f>
        <v>X110</v>
      </c>
      <c r="K252" s="74">
        <f>'По терминалам'!K228</f>
        <v>0</v>
      </c>
      <c r="L252" s="74">
        <f>'По терминалам'!L228</f>
        <v>0</v>
      </c>
      <c r="M252" s="271">
        <f>'По терминалам'!M228</f>
        <v>0</v>
      </c>
      <c r="N252" s="272">
        <f>'По терминалам'!N228</f>
        <v>0</v>
      </c>
      <c r="O252" s="272">
        <f>'По терминалам'!O228</f>
        <v>0</v>
      </c>
      <c r="P252" s="272">
        <f>'По терминалам'!P228</f>
        <v>0</v>
      </c>
      <c r="Q252" s="273">
        <f>'По терминалам'!Q228</f>
        <v>0</v>
      </c>
      <c r="S252" s="8" t="s">
        <v>427</v>
      </c>
      <c r="T252" s="9" t="s">
        <v>402</v>
      </c>
      <c r="U252" s="9" t="s">
        <v>406</v>
      </c>
      <c r="V252" s="9"/>
      <c r="W252" s="10"/>
      <c r="Y252" s="173" t="str">
        <f>D251</f>
        <v>Шкаф ВЛБ-13</v>
      </c>
    </row>
    <row r="253">
      <c r="B253" s="103">
        <v>251</v>
      </c>
      <c r="C253" s="293"/>
      <c r="D253" s="287"/>
      <c r="E253" s="74" t="str">
        <f>'По терминалам'!E229</f>
        <v>C481</v>
      </c>
      <c r="F253" s="290"/>
      <c r="G253" s="271">
        <f>'По терминалам'!G229</f>
        <v>0</v>
      </c>
      <c r="H253" s="272">
        <f>'По терминалам'!H229</f>
        <v>0</v>
      </c>
      <c r="I253" s="293">
        <f>'По терминалам'!I229</f>
        <v>0</v>
      </c>
      <c r="J253" s="96" t="str">
        <f>'По терминалам'!J229</f>
        <v>X111</v>
      </c>
      <c r="K253" s="74">
        <f>'По терминалам'!K229</f>
        <v>0</v>
      </c>
      <c r="L253" s="74">
        <f>'По терминалам'!L229</f>
        <v>0</v>
      </c>
      <c r="M253" s="271">
        <f>'По терминалам'!M229</f>
        <v>0</v>
      </c>
      <c r="N253" s="272">
        <f>'По терминалам'!N229</f>
        <v>0</v>
      </c>
      <c r="O253" s="272">
        <f>'По терминалам'!O229</f>
        <v>0</v>
      </c>
      <c r="P253" s="272">
        <f>'По терминалам'!P229</f>
        <v>0</v>
      </c>
      <c r="Q253" s="273">
        <f>'По терминалам'!Q229</f>
        <v>0</v>
      </c>
      <c r="Y253" s="173" t="str">
        <f>D251</f>
        <v>Шкаф ВЛБ-13</v>
      </c>
    </row>
    <row r="254" ht="45">
      <c r="B254" s="103">
        <v>252</v>
      </c>
      <c r="C254" s="293"/>
      <c r="D254" s="288"/>
      <c r="E254" s="75" t="str">
        <f>'По терминалам'!E230</f>
        <v>N481</v>
      </c>
      <c r="F254" s="291"/>
      <c r="G254" s="274">
        <f>'По терминалам'!G230</f>
        <v>0</v>
      </c>
      <c r="H254" s="275">
        <f>'По терминалам'!H230</f>
        <v>0</v>
      </c>
      <c r="I254" s="294">
        <f>'По терминалам'!I230</f>
        <v>0</v>
      </c>
      <c r="J254" s="97" t="str">
        <f>'По терминалам'!J230</f>
        <v>X114 X112 X113</v>
      </c>
      <c r="K254" s="75">
        <f>'По терминалам'!K230</f>
        <v>0</v>
      </c>
      <c r="L254" s="75">
        <f>'По терминалам'!L230</f>
        <v>0</v>
      </c>
      <c r="M254" s="274">
        <f>'По терминалам'!M230</f>
        <v>0</v>
      </c>
      <c r="N254" s="275">
        <f>'По терминалам'!N230</f>
        <v>0</v>
      </c>
      <c r="O254" s="275">
        <f>'По терминалам'!O230</f>
        <v>0</v>
      </c>
      <c r="P254" s="275">
        <f>'По терминалам'!P230</f>
        <v>0</v>
      </c>
      <c r="Q254" s="276">
        <f>'По терминалам'!Q230</f>
        <v>0</v>
      </c>
      <c r="Y254" s="173" t="str">
        <f>D251</f>
        <v>Шкаф ВЛБ-13</v>
      </c>
    </row>
    <row r="255">
      <c r="B255" s="103">
        <v>253</v>
      </c>
      <c r="C255" s="293"/>
      <c r="D255" s="286" t="s">
        <v>226</v>
      </c>
      <c r="E255" s="73" t="str">
        <f>'По терминалам'!E75</f>
        <v>A481</v>
      </c>
      <c r="F255" s="265" t="s">
        <v>24</v>
      </c>
      <c r="G255" s="73" t="str">
        <f>'По терминалам'!G75</f>
        <v>X128</v>
      </c>
      <c r="H255" s="73">
        <f>'По терминалам'!H75</f>
        <v>0</v>
      </c>
      <c r="I255" s="73">
        <f>'По терминалам'!I75</f>
        <v>0</v>
      </c>
      <c r="J255" s="95" t="str">
        <f>'По терминалам'!J75</f>
        <v>X132</v>
      </c>
      <c r="K255" s="73">
        <f>'По терминалам'!K75</f>
        <v>0</v>
      </c>
      <c r="L255" s="73">
        <f>'По терминалам'!L75</f>
        <v>0</v>
      </c>
      <c r="M255" s="265" t="str">
        <f>'По терминалам'!M75</f>
        <v>SG5</v>
      </c>
      <c r="N255" s="95">
        <f>'По терминалам'!N75</f>
        <v>2</v>
      </c>
      <c r="O255" s="73">
        <f>'По терминалам'!O75</f>
        <v>4</v>
      </c>
      <c r="P255" s="73">
        <f>'По терминалам'!P75</f>
        <v>31</v>
      </c>
      <c r="Q255" s="98" t="str">
        <f>'По терминалам'!Q75</f>
        <v>164L</v>
      </c>
      <c r="Y255" s="173" t="str">
        <f>D255</f>
        <v>РЩГ-1 1НА05 защиты 1Т 2к</v>
      </c>
    </row>
    <row r="256">
      <c r="B256" s="103">
        <v>254</v>
      </c>
      <c r="C256" s="293"/>
      <c r="D256" s="287"/>
      <c r="E256" s="74" t="str">
        <f>'По терминалам'!E76</f>
        <v>B481</v>
      </c>
      <c r="F256" s="266"/>
      <c r="G256" s="74" t="str">
        <f>'По терминалам'!G76</f>
        <v>X129</v>
      </c>
      <c r="H256" s="74">
        <f>'По терминалам'!H76</f>
        <v>0</v>
      </c>
      <c r="I256" s="74">
        <f>'По терминалам'!I76</f>
        <v>0</v>
      </c>
      <c r="J256" s="96" t="str">
        <f>'По терминалам'!J76</f>
        <v>X133</v>
      </c>
      <c r="K256" s="74">
        <f>'По терминалам'!K76</f>
        <v>0</v>
      </c>
      <c r="L256" s="74">
        <f>'По терминалам'!L76</f>
        <v>0</v>
      </c>
      <c r="M256" s="266">
        <f>'По терминалам'!M76</f>
        <v>0</v>
      </c>
      <c r="N256" s="96">
        <f>'По терминалам'!N76</f>
        <v>6</v>
      </c>
      <c r="O256" s="74">
        <f>'По терминалам'!O76</f>
        <v>8</v>
      </c>
      <c r="P256" s="74">
        <f>'По терминалам'!P76</f>
        <v>29</v>
      </c>
      <c r="Q256" s="99" t="str">
        <f>'По терминалам'!Q76</f>
        <v>78C</v>
      </c>
      <c r="Y256" s="173" t="str">
        <f>D255</f>
        <v>РЩГ-1 1НА05 защиты 1Т 2к</v>
      </c>
    </row>
    <row r="257">
      <c r="B257" s="103">
        <v>255</v>
      </c>
      <c r="C257" s="293"/>
      <c r="D257" s="287"/>
      <c r="E257" s="74" t="str">
        <f>'По терминалам'!E77</f>
        <v>C481</v>
      </c>
      <c r="F257" s="266"/>
      <c r="G257" s="74" t="str">
        <f>'По терминалам'!G77</f>
        <v>X130</v>
      </c>
      <c r="H257" s="74">
        <f>'По терминалам'!H77</f>
        <v>0</v>
      </c>
      <c r="I257" s="74">
        <f>'По терминалам'!I77</f>
        <v>0</v>
      </c>
      <c r="J257" s="96" t="str">
        <f>'По терминалам'!J77</f>
        <v>X134</v>
      </c>
      <c r="K257" s="74">
        <f>'По терминалам'!K77</f>
        <v>0</v>
      </c>
      <c r="L257" s="74">
        <f>'По терминалам'!L77</f>
        <v>0</v>
      </c>
      <c r="M257" s="295">
        <f>'По терминалам'!M77</f>
        <v>0</v>
      </c>
      <c r="N257" s="96">
        <f>'По терминалам'!N77</f>
        <v>10</v>
      </c>
      <c r="O257" s="74">
        <f>'По терминалам'!O77</f>
        <v>12</v>
      </c>
      <c r="P257" s="74">
        <f>'По терминалам'!P77</f>
        <v>30</v>
      </c>
      <c r="Q257" s="99" t="str">
        <f>'По терминалам'!Q77</f>
        <v>44L</v>
      </c>
      <c r="Y257" s="173" t="str">
        <f>D255</f>
        <v>РЩГ-1 1НА05 защиты 1Т 2к</v>
      </c>
    </row>
    <row r="258">
      <c r="B258" s="103">
        <v>256</v>
      </c>
      <c r="C258" s="293"/>
      <c r="D258" s="288"/>
      <c r="E258" s="75" t="str">
        <f>'По терминалам'!E78</f>
        <v>N481</v>
      </c>
      <c r="F258" s="267"/>
      <c r="G258" s="75" t="str">
        <f>'По терминалам'!G78</f>
        <v>X131</v>
      </c>
      <c r="H258" s="75">
        <f>'По терминалам'!H78</f>
        <v>0</v>
      </c>
      <c r="I258" s="75">
        <f>'По терминалам'!I78</f>
        <v>0</v>
      </c>
      <c r="J258" s="100" t="str">
        <f>'По терминалам'!J78</f>
        <v>X131</v>
      </c>
      <c r="K258" s="75">
        <f>'По терминалам'!K78</f>
        <v>0</v>
      </c>
      <c r="L258" s="75">
        <f>'По терминалам'!L78</f>
        <v>0</v>
      </c>
      <c r="M258" s="282" t="str">
        <f>'По терминалам'!M78</f>
        <v>-</v>
      </c>
      <c r="N258" s="296">
        <f>'По терминалам'!N78</f>
        <v>0</v>
      </c>
      <c r="O258" s="296">
        <f>'По терминалам'!O78</f>
        <v>0</v>
      </c>
      <c r="P258" s="296">
        <f>'По терминалам'!P78</f>
        <v>0</v>
      </c>
      <c r="Q258" s="297">
        <f>'По терминалам'!Q78</f>
        <v>0</v>
      </c>
      <c r="Y258" s="173" t="str">
        <f>D255</f>
        <v>РЩГ-1 1НА05 защиты 1Т 2к</v>
      </c>
    </row>
    <row r="259">
      <c r="B259" s="103">
        <v>257</v>
      </c>
      <c r="C259" s="293"/>
      <c r="D259" s="286" t="s">
        <v>377</v>
      </c>
      <c r="E259" s="73" t="str">
        <f>'По терминалам'!E259</f>
        <v>А482</v>
      </c>
      <c r="F259" s="265" t="s">
        <v>368</v>
      </c>
      <c r="G259" s="73" t="str">
        <f>'По терминалам'!G259</f>
        <v>02XC1</v>
      </c>
      <c r="H259" s="73">
        <f>'По терминалам'!H259</f>
        <v>0</v>
      </c>
      <c r="I259" s="73">
        <f>'По терминалам'!I259</f>
        <v>0</v>
      </c>
      <c r="J259" s="95" t="str">
        <f>'По терминалам'!J259</f>
        <v>02XC5</v>
      </c>
      <c r="K259" s="73">
        <f>'По терминалам'!K259</f>
        <v>0</v>
      </c>
      <c r="L259" s="73">
        <f>'По терминалам'!L259</f>
        <v>0</v>
      </c>
      <c r="M259" s="265" t="str">
        <f>'По терминалам'!M259</f>
        <v>SGA2</v>
      </c>
      <c r="N259" s="95">
        <f>'По терминалам'!N259</f>
        <v>2</v>
      </c>
      <c r="O259" s="73">
        <f>'По терминалам'!O259</f>
        <v>4</v>
      </c>
      <c r="P259" s="73">
        <f>'По терминалам'!P259</f>
        <v>0</v>
      </c>
      <c r="Q259" s="98">
        <f>'По терминалам'!Q259</f>
        <v>0</v>
      </c>
      <c r="Y259" s="173" t="str">
        <f>D259</f>
        <v>БВС-1 Шкаф 40Р ДЗО 2к</v>
      </c>
    </row>
    <row r="260">
      <c r="B260" s="103">
        <v>258</v>
      </c>
      <c r="C260" s="293"/>
      <c r="D260" s="287"/>
      <c r="E260" s="74" t="str">
        <f>'По терминалам'!E260</f>
        <v>В482</v>
      </c>
      <c r="F260" s="266"/>
      <c r="G260" s="74" t="str">
        <f>'По терминалам'!G260</f>
        <v>02XC2</v>
      </c>
      <c r="H260" s="74">
        <f>'По терминалам'!H260</f>
        <v>0</v>
      </c>
      <c r="I260" s="74">
        <f>'По терминалам'!I260</f>
        <v>0</v>
      </c>
      <c r="J260" s="96" t="str">
        <f>'По терминалам'!J260</f>
        <v>02XC6</v>
      </c>
      <c r="K260" s="74">
        <f>'По терминалам'!K260</f>
        <v>0</v>
      </c>
      <c r="L260" s="74">
        <f>'По терминалам'!L260</f>
        <v>0</v>
      </c>
      <c r="M260" s="266">
        <f>'По терминалам'!M260</f>
        <v>0</v>
      </c>
      <c r="N260" s="96">
        <f>'По терминалам'!N260</f>
        <v>6</v>
      </c>
      <c r="O260" s="74">
        <f>'По терминалам'!O260</f>
        <v>8</v>
      </c>
      <c r="P260" s="74">
        <f>'По терминалам'!P260</f>
        <v>0</v>
      </c>
      <c r="Q260" s="99">
        <f>'По терминалам'!Q260</f>
        <v>0</v>
      </c>
      <c r="Y260" s="173" t="str">
        <f>D259</f>
        <v>БВС-1 Шкаф 40Р ДЗО 2к</v>
      </c>
    </row>
    <row r="261">
      <c r="B261" s="103">
        <v>259</v>
      </c>
      <c r="C261" s="293"/>
      <c r="D261" s="287"/>
      <c r="E261" s="74" t="str">
        <f>'По терминалам'!E261</f>
        <v>С482</v>
      </c>
      <c r="F261" s="266"/>
      <c r="G261" s="74" t="str">
        <f>'По терминалам'!G261</f>
        <v>02XC3</v>
      </c>
      <c r="H261" s="74">
        <f>'По терминалам'!H261</f>
        <v>0</v>
      </c>
      <c r="I261" s="74">
        <f>'По терминалам'!I261</f>
        <v>0</v>
      </c>
      <c r="J261" s="96" t="str">
        <f>'По терминалам'!J261</f>
        <v>02XC7</v>
      </c>
      <c r="K261" s="74">
        <f>'По терминалам'!K261</f>
        <v>0</v>
      </c>
      <c r="L261" s="74">
        <f>'По терминалам'!L261</f>
        <v>0</v>
      </c>
      <c r="M261" s="295">
        <f>'По терминалам'!M261</f>
        <v>0</v>
      </c>
      <c r="N261" s="96">
        <f>'По терминалам'!N261</f>
        <v>10</v>
      </c>
      <c r="O261" s="74">
        <f>'По терминалам'!O261</f>
        <v>12</v>
      </c>
      <c r="P261" s="74">
        <f>'По терминалам'!P261</f>
        <v>0</v>
      </c>
      <c r="Q261" s="99">
        <f>'По терминалам'!Q261</f>
        <v>0</v>
      </c>
      <c r="Y261" s="173" t="str">
        <f>D259</f>
        <v>БВС-1 Шкаф 40Р ДЗО 2к</v>
      </c>
    </row>
    <row r="262">
      <c r="B262" s="103">
        <v>260</v>
      </c>
      <c r="C262" s="293"/>
      <c r="D262" s="288"/>
      <c r="E262" s="75" t="str">
        <f>'По терминалам'!E262</f>
        <v>N482</v>
      </c>
      <c r="F262" s="267"/>
      <c r="G262" s="75" t="str">
        <f>'По терминалам'!G262</f>
        <v>02XC4</v>
      </c>
      <c r="H262" s="75">
        <f>'По терминалам'!H262</f>
        <v>0</v>
      </c>
      <c r="I262" s="75">
        <f>'По терминалам'!I262</f>
        <v>0</v>
      </c>
      <c r="J262" s="100" t="str">
        <f>'По терминалам'!J262</f>
        <v>02XC8</v>
      </c>
      <c r="K262" s="75">
        <f>'По терминалам'!K262</f>
        <v>0</v>
      </c>
      <c r="L262" s="75">
        <f>'По терминалам'!L262</f>
        <v>0</v>
      </c>
      <c r="M262" s="282" t="str">
        <f>'По терминалам'!M262</f>
        <v>-</v>
      </c>
      <c r="N262" s="296">
        <f>'По терминалам'!N262</f>
        <v>0</v>
      </c>
      <c r="O262" s="296">
        <f>'По терминалам'!O262</f>
        <v>0</v>
      </c>
      <c r="P262" s="302">
        <f>'По терминалам'!P262</f>
        <v>0</v>
      </c>
      <c r="Q262" s="101">
        <f>'По терминалам'!Q262</f>
        <v>0</v>
      </c>
      <c r="Y262" s="173" t="str">
        <f>D259</f>
        <v>БВС-1 Шкаф 40Р ДЗО 2к</v>
      </c>
    </row>
    <row r="263">
      <c r="B263" s="103">
        <v>261</v>
      </c>
      <c r="C263" s="293"/>
      <c r="D263" s="286" t="s">
        <v>340</v>
      </c>
      <c r="E263" s="73" t="str">
        <f>'По терминалам'!E235</f>
        <v>А483</v>
      </c>
      <c r="F263" s="265" t="s">
        <v>24</v>
      </c>
      <c r="G263" s="73" t="str">
        <f>'По терминалам'!G235</f>
        <v>X1</v>
      </c>
      <c r="H263" s="73">
        <f>'По терминалам'!H235</f>
        <v>0</v>
      </c>
      <c r="I263" s="73">
        <f>'По терминалам'!I235</f>
        <v>0</v>
      </c>
      <c r="J263" s="280" t="str">
        <f>'По терминалам'!J235</f>
        <v>-</v>
      </c>
      <c r="K263" s="298">
        <f>'По терминалам'!K235</f>
        <v>0</v>
      </c>
      <c r="L263" s="299">
        <f>'По терминалам'!L235</f>
        <v>0</v>
      </c>
      <c r="M263" s="280" t="str">
        <f>'По терминалам'!M235</f>
        <v>-</v>
      </c>
      <c r="N263" s="95">
        <f>'По терминалам'!N235</f>
        <v>0</v>
      </c>
      <c r="O263" s="73">
        <f>'По терминалам'!O235</f>
        <v>0</v>
      </c>
      <c r="P263" s="73">
        <f>'По терминалам'!P235</f>
        <v>0</v>
      </c>
      <c r="Q263" s="98">
        <f>'По терминалам'!Q235</f>
        <v>0</v>
      </c>
      <c r="Y263" s="173" t="str">
        <f>D263</f>
        <v>БВС-1 Шкаф ДЗШ 500 кВ</v>
      </c>
    </row>
    <row r="264">
      <c r="B264" s="103">
        <v>262</v>
      </c>
      <c r="C264" s="293"/>
      <c r="D264" s="287"/>
      <c r="E264" s="74" t="str">
        <f>'По терминалам'!E236</f>
        <v>В483</v>
      </c>
      <c r="F264" s="266"/>
      <c r="G264" s="74" t="str">
        <f>'По терминалам'!G236</f>
        <v>X2</v>
      </c>
      <c r="H264" s="74">
        <f>'По терминалам'!H236</f>
        <v>0</v>
      </c>
      <c r="I264" s="74">
        <f>'По терминалам'!I236</f>
        <v>0</v>
      </c>
      <c r="J264" s="281">
        <f>'По терминалам'!J236</f>
        <v>0</v>
      </c>
      <c r="K264" s="300">
        <f>'По терминалам'!K236</f>
        <v>0</v>
      </c>
      <c r="L264" s="301">
        <f>'По терминалам'!L236</f>
        <v>0</v>
      </c>
      <c r="M264" s="281">
        <f>'По терминалам'!M236</f>
        <v>0</v>
      </c>
      <c r="N264" s="96">
        <f>'По терминалам'!N236</f>
        <v>0</v>
      </c>
      <c r="O264" s="74">
        <f>'По терминалам'!O236</f>
        <v>0</v>
      </c>
      <c r="P264" s="74">
        <f>'По терминалам'!P236</f>
        <v>0</v>
      </c>
      <c r="Q264" s="99">
        <f>'По терминалам'!Q236</f>
        <v>0</v>
      </c>
      <c r="Y264" s="173" t="str">
        <f>D263</f>
        <v>БВС-1 Шкаф ДЗШ 500 кВ</v>
      </c>
    </row>
    <row r="265">
      <c r="B265" s="103">
        <v>263</v>
      </c>
      <c r="C265" s="293"/>
      <c r="D265" s="287"/>
      <c r="E265" s="74" t="str">
        <f>'По терминалам'!E237</f>
        <v>С483</v>
      </c>
      <c r="F265" s="266"/>
      <c r="G265" s="74" t="str">
        <f>'По терминалам'!G237</f>
        <v>X3</v>
      </c>
      <c r="H265" s="74">
        <f>'По терминалам'!H237</f>
        <v>0</v>
      </c>
      <c r="I265" s="74">
        <f>'По терминалам'!I237</f>
        <v>0</v>
      </c>
      <c r="J265" s="281">
        <f>'По терминалам'!J237</f>
        <v>0</v>
      </c>
      <c r="K265" s="300">
        <f>'По терминалам'!K237</f>
        <v>0</v>
      </c>
      <c r="L265" s="301">
        <f>'По терминалам'!L237</f>
        <v>0</v>
      </c>
      <c r="M265" s="281">
        <f>'По терминалам'!M237</f>
        <v>0</v>
      </c>
      <c r="N265" s="96">
        <f>'По терминалам'!N237</f>
        <v>0</v>
      </c>
      <c r="O265" s="74">
        <f>'По терминалам'!O237</f>
        <v>0</v>
      </c>
      <c r="P265" s="74">
        <f>'По терминалам'!P237</f>
        <v>0</v>
      </c>
      <c r="Q265" s="99">
        <f>'По терминалам'!Q237</f>
        <v>0</v>
      </c>
      <c r="Y265" s="173" t="str">
        <f>D263</f>
        <v>БВС-1 Шкаф ДЗШ 500 кВ</v>
      </c>
    </row>
    <row r="266">
      <c r="B266" s="104">
        <v>264</v>
      </c>
      <c r="C266" s="294"/>
      <c r="D266" s="288"/>
      <c r="E266" s="75" t="str">
        <f>'По терминалам'!E238</f>
        <v>N483</v>
      </c>
      <c r="F266" s="267"/>
      <c r="G266" s="75" t="str">
        <f>'По терминалам'!G238</f>
        <v>X4</v>
      </c>
      <c r="H266" s="75">
        <f>'По терминалам'!H238</f>
        <v>0</v>
      </c>
      <c r="I266" s="75">
        <f>'По терминалам'!I238</f>
        <v>0</v>
      </c>
      <c r="J266" s="282">
        <f>'По терминалам'!J238</f>
        <v>0</v>
      </c>
      <c r="K266" s="296">
        <f>'По терминалам'!K238</f>
        <v>0</v>
      </c>
      <c r="L266" s="302">
        <f>'По терминалам'!L238</f>
        <v>0</v>
      </c>
      <c r="M266" s="282">
        <f>'По терминалам'!M238</f>
        <v>0</v>
      </c>
      <c r="N266" s="283" t="str">
        <f>'По терминалам'!N238</f>
        <v>-</v>
      </c>
      <c r="O266" s="284">
        <f>'По терминалам'!O238</f>
        <v>0</v>
      </c>
      <c r="P266" s="284">
        <f>'По терминалам'!P238</f>
        <v>0</v>
      </c>
      <c r="Q266" s="285">
        <f>'По терминалам'!Q238</f>
        <v>0</v>
      </c>
      <c r="Y266" s="173" t="str">
        <f>D263</f>
        <v>БВС-1 Шкаф ДЗШ 500 кВ</v>
      </c>
    </row>
    <row r="267">
      <c r="B267" s="103">
        <v>265</v>
      </c>
      <c r="C267" s="382" t="s">
        <v>193</v>
      </c>
      <c r="D267" s="384" t="s">
        <v>164</v>
      </c>
      <c r="E267" s="72" t="str">
        <f>'По терминалам'!E51</f>
        <v>A2</v>
      </c>
      <c r="F267" s="387" t="s">
        <v>114</v>
      </c>
      <c r="G267" s="72">
        <f>'По терминалам'!G51</f>
        <v>144</v>
      </c>
      <c r="H267" s="72">
        <f>'По терминалам'!H51</f>
        <v>3</v>
      </c>
      <c r="I267" s="72" t="str">
        <f>'По терминалам'!I51</f>
        <v>17L</v>
      </c>
      <c r="J267" s="72">
        <f>'По терминалам'!J51</f>
        <v>148</v>
      </c>
      <c r="K267" s="72">
        <f>'По терминалам'!K51</f>
        <v>3</v>
      </c>
      <c r="L267" s="72" t="str">
        <f>'По терминалам'!L51</f>
        <v>167L</v>
      </c>
      <c r="M267" s="387" t="str">
        <f>'По терминалам'!M51</f>
        <v>SG7</v>
      </c>
      <c r="N267" s="72">
        <f>'По терминалам'!N51</f>
        <v>2</v>
      </c>
      <c r="O267" s="72">
        <f>'По терминалам'!O51</f>
        <v>4</v>
      </c>
      <c r="P267" s="72">
        <f>'По терминалам'!P51</f>
        <v>3</v>
      </c>
      <c r="Q267" s="78" t="str">
        <f>'По терминалам'!Q51</f>
        <v>163L</v>
      </c>
      <c r="Y267" s="173" t="str">
        <f>D267</f>
        <v>РЩГ-1 1НА04 защиты 1Т 1к</v>
      </c>
    </row>
    <row r="268">
      <c r="B268" s="103">
        <v>266</v>
      </c>
      <c r="C268" s="383"/>
      <c r="D268" s="385"/>
      <c r="E268" s="41" t="str">
        <f>'По терминалам'!E52</f>
        <v>B2</v>
      </c>
      <c r="F268" s="388"/>
      <c r="G268" s="41">
        <f>'По терминалам'!G52</f>
        <v>145</v>
      </c>
      <c r="H268" s="41">
        <f>'По терминалам'!H52</f>
        <v>3</v>
      </c>
      <c r="I268" s="41" t="str">
        <f>'По терминалам'!I52</f>
        <v>133L</v>
      </c>
      <c r="J268" s="41">
        <f>'По терминалам'!J52</f>
        <v>149</v>
      </c>
      <c r="K268" s="41">
        <f>'По терминалам'!K52</f>
        <v>3</v>
      </c>
      <c r="L268" s="41" t="str">
        <f>'По терминалам'!L52</f>
        <v>73C</v>
      </c>
      <c r="M268" s="388">
        <f>'По терминалам'!M52</f>
        <v>0</v>
      </c>
      <c r="N268" s="41">
        <f>'По терминалам'!N52</f>
        <v>6</v>
      </c>
      <c r="O268" s="41">
        <f>'По терминалам'!O52</f>
        <v>8</v>
      </c>
      <c r="P268" s="41">
        <f>'По терминалам'!P52</f>
        <v>3</v>
      </c>
      <c r="Q268" s="59" t="str">
        <f>'По терминалам'!Q52</f>
        <v>79C</v>
      </c>
      <c r="Y268" s="173" t="str">
        <f>D267</f>
        <v>РЩГ-1 1НА04 защиты 1Т 1к</v>
      </c>
    </row>
    <row r="269">
      <c r="B269" s="103">
        <v>267</v>
      </c>
      <c r="C269" s="383"/>
      <c r="D269" s="385"/>
      <c r="E269" s="41" t="str">
        <f>'По терминалам'!E53</f>
        <v>C2</v>
      </c>
      <c r="F269" s="388"/>
      <c r="G269" s="41">
        <f>'По терминалам'!G53</f>
        <v>146</v>
      </c>
      <c r="H269" s="41">
        <f>'По терминалам'!H53</f>
        <v>3</v>
      </c>
      <c r="I269" s="41" t="str">
        <f>'По терминалам'!I53</f>
        <v>105C</v>
      </c>
      <c r="J269" s="41">
        <f>'По терминалам'!J53</f>
        <v>150</v>
      </c>
      <c r="K269" s="41">
        <f>'По терминалам'!K53</f>
        <v>3</v>
      </c>
      <c r="L269" s="41" t="str">
        <f>'По терминалам'!L53</f>
        <v>43L</v>
      </c>
      <c r="M269" s="390">
        <f>'По терминалам'!M53</f>
        <v>0</v>
      </c>
      <c r="N269" s="41">
        <f>'По терминалам'!N53</f>
        <v>10</v>
      </c>
      <c r="O269" s="41">
        <f>'По терминалам'!O53</f>
        <v>12</v>
      </c>
      <c r="P269" s="41">
        <f>'По терминалам'!P53</f>
        <v>3</v>
      </c>
      <c r="Q269" s="59" t="str">
        <f>'По терминалам'!Q53</f>
        <v>42L</v>
      </c>
      <c r="Y269" s="173" t="str">
        <f>D267</f>
        <v>РЩГ-1 1НА04 защиты 1Т 1к</v>
      </c>
    </row>
    <row r="270">
      <c r="B270" s="103">
        <v>268</v>
      </c>
      <c r="C270" s="383"/>
      <c r="D270" s="386"/>
      <c r="E270" s="172" t="str">
        <f>'По терминалам'!E54</f>
        <v>N2</v>
      </c>
      <c r="F270" s="389"/>
      <c r="G270" s="172">
        <f>'По терминалам'!G54</f>
        <v>147</v>
      </c>
      <c r="H270" s="172">
        <f>'По терминалам'!H54</f>
        <v>0</v>
      </c>
      <c r="I270" s="172" t="str">
        <f>'По терминалам'!I54</f>
        <v>-</v>
      </c>
      <c r="J270" s="172">
        <f>'По терминалам'!J54</f>
        <v>176</v>
      </c>
      <c r="K270" s="172">
        <f>'По терминалам'!K54</f>
        <v>0</v>
      </c>
      <c r="L270" s="172" t="str">
        <f>'По терминалам'!L54</f>
        <v>-</v>
      </c>
      <c r="M270" s="391" t="str">
        <f>'По терминалам'!M54</f>
        <v>-</v>
      </c>
      <c r="N270" s="392">
        <f>'По терминалам'!N54</f>
        <v>0</v>
      </c>
      <c r="O270" s="392">
        <f>'По терминалам'!O54</f>
        <v>0</v>
      </c>
      <c r="P270" s="392">
        <f>'По терминалам'!P54</f>
        <v>0</v>
      </c>
      <c r="Q270" s="393">
        <f>'По терминалам'!Q54</f>
        <v>0</v>
      </c>
      <c r="Y270" s="173" t="str">
        <f>D267</f>
        <v>РЩГ-1 1НА04 защиты 1Т 1к</v>
      </c>
    </row>
    <row r="271">
      <c r="B271" s="102">
        <v>269</v>
      </c>
      <c r="C271" s="394" t="s">
        <v>193</v>
      </c>
      <c r="D271" s="286" t="s">
        <v>226</v>
      </c>
      <c r="E271" s="149" t="str">
        <f>'По терминалам'!E83</f>
        <v>A2</v>
      </c>
      <c r="F271" s="265" t="s">
        <v>114</v>
      </c>
      <c r="G271" s="149">
        <f>'По терминалам'!G83</f>
        <v>144</v>
      </c>
      <c r="H271" s="149">
        <f>'По терминалам'!H83</f>
        <v>1</v>
      </c>
      <c r="I271" s="149" t="str">
        <f>'По терминалам'!I83</f>
        <v>167L</v>
      </c>
      <c r="J271" s="149">
        <f>'По терминалам'!J83</f>
        <v>155</v>
      </c>
      <c r="K271" s="149">
        <f>'По терминалам'!K83</f>
        <v>1</v>
      </c>
      <c r="L271" s="149" t="str">
        <f>'По терминалам'!L83</f>
        <v>163L</v>
      </c>
      <c r="M271" s="265" t="str">
        <f>'По терминалам'!M83</f>
        <v>SG7</v>
      </c>
      <c r="N271" s="149">
        <f>'По терминалам'!N83</f>
        <v>2</v>
      </c>
      <c r="O271" s="149">
        <f>'По терминалам'!O83</f>
        <v>4</v>
      </c>
      <c r="P271" s="149">
        <f>'По терминалам'!P83</f>
        <v>2</v>
      </c>
      <c r="Q271" s="161" t="str">
        <f>'По терминалам'!Q83</f>
        <v>167L</v>
      </c>
      <c r="Y271" s="173" t="str">
        <f>D271</f>
        <v>РЩГ-1 1НА05 защиты 1Т 2к</v>
      </c>
    </row>
    <row r="272">
      <c r="B272" s="103">
        <v>270</v>
      </c>
      <c r="C272" s="395"/>
      <c r="D272" s="287"/>
      <c r="E272" s="150" t="str">
        <f>'По терминалам'!E84</f>
        <v>B2</v>
      </c>
      <c r="F272" s="266"/>
      <c r="G272" s="150">
        <f>'По терминалам'!G84</f>
        <v>145</v>
      </c>
      <c r="H272" s="150">
        <f>'По терминалам'!H84</f>
        <v>1</v>
      </c>
      <c r="I272" s="150" t="str">
        <f>'По терминалам'!I84</f>
        <v>73C</v>
      </c>
      <c r="J272" s="150">
        <f>'По терминалам'!J84</f>
        <v>155</v>
      </c>
      <c r="K272" s="150">
        <f>'По терминалам'!K84</f>
        <v>2</v>
      </c>
      <c r="L272" s="150" t="str">
        <f>'По терминалам'!L84</f>
        <v>79C</v>
      </c>
      <c r="M272" s="266">
        <f>'По терминалам'!M84</f>
        <v>0</v>
      </c>
      <c r="N272" s="150">
        <f>'По терминалам'!N84</f>
        <v>6</v>
      </c>
      <c r="O272" s="150">
        <f>'По терминалам'!O84</f>
        <v>8</v>
      </c>
      <c r="P272" s="150">
        <f>'По терминалам'!P84</f>
        <v>2</v>
      </c>
      <c r="Q272" s="162" t="str">
        <f>'По терминалам'!Q84</f>
        <v>73C</v>
      </c>
      <c r="Y272" s="173" t="str">
        <f>D271</f>
        <v>РЩГ-1 1НА05 защиты 1Т 2к</v>
      </c>
    </row>
    <row r="273">
      <c r="B273" s="103">
        <v>271</v>
      </c>
      <c r="C273" s="395"/>
      <c r="D273" s="287"/>
      <c r="E273" s="150" t="str">
        <f>'По терминалам'!E85</f>
        <v>C2</v>
      </c>
      <c r="F273" s="266"/>
      <c r="G273" s="150">
        <f>'По терминалам'!G85</f>
        <v>146</v>
      </c>
      <c r="H273" s="150">
        <f>'По терминалам'!H85</f>
        <v>2</v>
      </c>
      <c r="I273" s="150" t="str">
        <f>'По терминалам'!I85</f>
        <v>43L</v>
      </c>
      <c r="J273" s="150">
        <f>'По терминалам'!J85</f>
        <v>155</v>
      </c>
      <c r="K273" s="150">
        <f>'По терминалам'!K85</f>
        <v>1</v>
      </c>
      <c r="L273" s="150" t="str">
        <f>'По терминалам'!L85</f>
        <v>45L</v>
      </c>
      <c r="M273" s="295">
        <f>'По терминалам'!M85</f>
        <v>0</v>
      </c>
      <c r="N273" s="150">
        <f>'По терминалам'!N85</f>
        <v>10</v>
      </c>
      <c r="O273" s="150">
        <f>'По терминалам'!O85</f>
        <v>12</v>
      </c>
      <c r="P273" s="150">
        <f>'По терминалам'!P85</f>
        <v>2</v>
      </c>
      <c r="Q273" s="162" t="str">
        <f>'По терминалам'!Q85</f>
        <v>43L</v>
      </c>
      <c r="Y273" s="173" t="str">
        <f>D271</f>
        <v>РЩГ-1 1НА05 защиты 1Т 2к</v>
      </c>
    </row>
    <row r="274">
      <c r="B274" s="104">
        <v>272</v>
      </c>
      <c r="C274" s="396"/>
      <c r="D274" s="288"/>
      <c r="E274" s="151" t="str">
        <f>'По терминалам'!E86</f>
        <v>N2</v>
      </c>
      <c r="F274" s="267"/>
      <c r="G274" s="151">
        <f>'По терминалам'!G86</f>
        <v>147</v>
      </c>
      <c r="H274" s="151">
        <f>'По терминалам'!H86</f>
        <v>0</v>
      </c>
      <c r="I274" s="151" t="str">
        <f>'По терминалам'!I86</f>
        <v>-</v>
      </c>
      <c r="J274" s="151">
        <f>'По терминалам'!J86</f>
        <v>151</v>
      </c>
      <c r="K274" s="151">
        <f>'По терминалам'!K86</f>
        <v>0</v>
      </c>
      <c r="L274" s="151">
        <f>'По терминалам'!L86</f>
        <v>0</v>
      </c>
      <c r="M274" s="274" t="str">
        <f>'По терминалам'!M86</f>
        <v>-</v>
      </c>
      <c r="N274" s="275">
        <f>'По терминалам'!N86</f>
        <v>0</v>
      </c>
      <c r="O274" s="275">
        <f>'По терминалам'!O86</f>
        <v>0</v>
      </c>
      <c r="P274" s="275">
        <f>'По терминалам'!P86</f>
        <v>0</v>
      </c>
      <c r="Q274" s="276">
        <f>'По терминалам'!Q86</f>
        <v>0</v>
      </c>
      <c r="Y274" s="173" t="str">
        <f>D271</f>
        <v>РЩГ-1 1НА05 защиты 1Т 2к</v>
      </c>
    </row>
  </sheetData>
  <autoFilter ref="Y10:Y266" xr:uid="{00000000-0009-0000-0000-000000000000}"/>
  <mergeCells>
    <mergeCell ref="F267:F270"/>
    <mergeCell ref="M267:M269"/>
    <mergeCell ref="M270:Q270"/>
    <mergeCell ref="C271:C274"/>
    <mergeCell ref="D271:D274"/>
    <mergeCell ref="F271:F274"/>
    <mergeCell ref="M271:M273"/>
    <mergeCell ref="M274:Q274"/>
    <mergeCell ref="C199:C210"/>
    <mergeCell ref="C211:C216"/>
    <mergeCell ref="C91:C102"/>
    <mergeCell ref="C115:C122"/>
    <mergeCell ref="C123:C134"/>
    <mergeCell ref="C135:C154"/>
    <mergeCell ref="C103:C114"/>
    <mergeCell ref="C267:C270"/>
    <mergeCell ref="D267:D270"/>
    <mergeCell ref="D147:D150"/>
    <mergeCell ref="F147:F150"/>
    <mergeCell ref="D127:D130"/>
    <mergeCell ref="D135:D138"/>
    <mergeCell ref="F135:F138"/>
    <mergeCell ref="D139:D142"/>
    <mergeCell ref="C163:C174"/>
    <mergeCell ref="C175:C186"/>
    <mergeCell ref="C187:C198"/>
    <mergeCell ref="F51:F54"/>
    <mergeCell ref="G75:I78"/>
    <mergeCell ref="F95:F98"/>
    <mergeCell ref="M95:M98"/>
    <mergeCell ref="N98:Q98"/>
    <mergeCell ref="M163:Q166"/>
    <mergeCell ref="G163:I166"/>
    <mergeCell ref="F111:F114"/>
    <mergeCell ref="M111:M113"/>
    <mergeCell ref="M114:Q114"/>
    <mergeCell ref="F123:F126"/>
    <mergeCell ref="M123:Q126"/>
    <mergeCell ref="M107:M109"/>
    <mergeCell ref="M110:Q110"/>
    <mergeCell ref="J119:L122"/>
    <mergeCell ref="C27:C46"/>
    <mergeCell ref="C47:C54"/>
    <mergeCell ref="F63:F66"/>
    <mergeCell ref="D75:D78"/>
    <mergeCell ref="F75:F78"/>
    <mergeCell ref="D79:D82"/>
    <mergeCell ref="C67:C74"/>
    <mergeCell ref="C75:C82"/>
    <mergeCell ref="C83:C90"/>
    <mergeCell ref="C55:C66"/>
    <mergeCell ref="D55:D58"/>
    <mergeCell ref="F55:F58"/>
    <mergeCell ref="D51:D54"/>
    <mergeCell ref="F47:F50"/>
    <mergeCell ref="D47:D50"/>
    <mergeCell ref="D83:D86"/>
    <mergeCell ref="F83:F86"/>
    <mergeCell ref="D27:D30"/>
    <mergeCell ref="F27:F30"/>
    <mergeCell ref="F79:F82"/>
    <mergeCell ref="F31:F34"/>
    <mergeCell ref="D35:D38"/>
    <mergeCell ref="F35:F38"/>
    <mergeCell ref="D59:D62"/>
    <mergeCell ref="M135:Q138"/>
    <mergeCell ref="M139:Q142"/>
    <mergeCell ref="M131:M134"/>
    <mergeCell ref="N134:Q134"/>
    <mergeCell ref="M147:M150"/>
    <mergeCell ref="N150:Q150"/>
    <mergeCell ref="F127:F130"/>
    <mergeCell ref="M127:M130"/>
    <mergeCell ref="N130:Q130"/>
    <mergeCell ref="F139:F142"/>
    <mergeCell ref="G135:I138"/>
    <mergeCell ref="D143:D146"/>
    <mergeCell ref="F143:F146"/>
    <mergeCell ref="M143:M146"/>
    <mergeCell ref="N146:Q146"/>
    <mergeCell ref="M55:Q58"/>
    <mergeCell ref="M54:Q54"/>
    <mergeCell ref="M51:M53"/>
    <mergeCell ref="G47:I50"/>
    <mergeCell ref="J51:L53"/>
    <mergeCell ref="M47:Q50"/>
    <mergeCell ref="M59:M61"/>
    <mergeCell ref="M63:M65"/>
    <mergeCell ref="F115:F118"/>
    <mergeCell ref="M115:Q118"/>
    <mergeCell ref="D103:D106"/>
    <mergeCell ref="F103:F106"/>
    <mergeCell ref="M103:Q106"/>
    <mergeCell ref="D115:D118"/>
    <mergeCell ref="G115:I118"/>
    <mergeCell ref="G103:I106"/>
    <mergeCell ref="D99:D102"/>
    <mergeCell ref="F99:F102"/>
    <mergeCell ref="M99:M102"/>
    <mergeCell ref="N102:Q102"/>
    <mergeCell ref="C9:C10"/>
    <mergeCell ref="D9:D10"/>
    <mergeCell ref="E9:E10"/>
    <mergeCell ref="F9:L9"/>
    <mergeCell ref="M9:Q9"/>
    <mergeCell ref="C11:C26"/>
    <mergeCell ref="M26:Q26"/>
    <mergeCell ref="M23:M25"/>
    <mergeCell ref="D19:D22"/>
    <mergeCell ref="F19:F22"/>
    <mergeCell ref="D23:D26"/>
    <mergeCell ref="F23:F26"/>
    <mergeCell ref="M19:M21"/>
    <mergeCell ref="M22:Q22"/>
    <mergeCell ref="M27:Q30"/>
    <mergeCell ref="G27:I30"/>
    <mergeCell ref="D31:D34"/>
    <mergeCell ref="M31:M33"/>
    <mergeCell ref="F3:Q4"/>
    <mergeCell ref="D11:D14"/>
    <mergeCell ref="F11:F14"/>
    <mergeCell ref="M11:Q14"/>
    <mergeCell ref="D15:D18"/>
    <mergeCell ref="F15:F18"/>
    <mergeCell ref="M15:M17"/>
    <mergeCell ref="M18:Q18"/>
    <mergeCell ref="G11:I14"/>
    <mergeCell ref="M34:Q34"/>
    <mergeCell ref="M35:M37"/>
    <mergeCell ref="M38:Q38"/>
    <mergeCell ref="M39:M41"/>
    <mergeCell ref="M42:Q42"/>
    <mergeCell ref="M43:M45"/>
    <mergeCell ref="M46:Q46"/>
    <mergeCell ref="D39:D42"/>
    <mergeCell ref="F39:F42"/>
    <mergeCell ref="D43:D46"/>
    <mergeCell ref="F43:F46"/>
    <mergeCell ref="M62:Q62"/>
    <mergeCell ref="M66:Q66"/>
    <mergeCell ref="D107:D110"/>
    <mergeCell ref="F107:F110"/>
    <mergeCell ref="D111:D114"/>
    <mergeCell ref="M75:Q78"/>
    <mergeCell ref="M79:Q82"/>
    <mergeCell ref="M83:Q86"/>
    <mergeCell ref="M67:Q70"/>
    <mergeCell ref="D71:D74"/>
    <mergeCell ref="F71:F74"/>
    <mergeCell ref="M74:Q74"/>
    <mergeCell ref="M71:M73"/>
    <mergeCell ref="G67:I70"/>
    <mergeCell ref="D67:D70"/>
    <mergeCell ref="G83:I86"/>
    <mergeCell ref="F59:F62"/>
    <mergeCell ref="D63:D66"/>
    <mergeCell ref="F67:F70"/>
    <mergeCell ref="D131:D134"/>
    <mergeCell ref="F131:F134"/>
    <mergeCell ref="D119:D122"/>
    <mergeCell ref="F119:F122"/>
    <mergeCell ref="D123:D126"/>
    <mergeCell ref="M87:Q90"/>
    <mergeCell ref="M91:Q94"/>
    <mergeCell ref="M119:M121"/>
    <mergeCell ref="M122:Q122"/>
    <mergeCell ref="J107:L110"/>
    <mergeCell ref="D87:D90"/>
    <mergeCell ref="D95:D98"/>
    <mergeCell ref="F87:F90"/>
    <mergeCell ref="D91:D94"/>
    <mergeCell ref="F91:F94"/>
    <mergeCell ref="D171:D174"/>
    <mergeCell ref="F171:F174"/>
    <mergeCell ref="D151:D154"/>
    <mergeCell ref="F151:F154"/>
    <mergeCell ref="M151:Q154"/>
    <mergeCell ref="M174:Q174"/>
    <mergeCell ref="D155:D158"/>
    <mergeCell ref="F155:F158"/>
    <mergeCell ref="D159:D162"/>
    <mergeCell ref="F159:F162"/>
    <mergeCell ref="F167:F170"/>
    <mergeCell ref="D163:D166"/>
    <mergeCell ref="F163:F166"/>
    <mergeCell ref="D167:D170"/>
    <mergeCell ref="J151:L154"/>
    <mergeCell ref="M171:M173"/>
    <mergeCell ref="M167:M169"/>
    <mergeCell ref="M170:Q170"/>
    <mergeCell ref="J171:L174"/>
    <mergeCell ref="M155:Q158"/>
    <mergeCell ref="M159:Q162"/>
    <mergeCell ref="D175:D178"/>
    <mergeCell ref="F175:F178"/>
    <mergeCell ref="M175:Q178"/>
    <mergeCell ref="D179:D182"/>
    <mergeCell ref="G175:I178"/>
    <mergeCell ref="M182:Q182"/>
    <mergeCell ref="M179:M181"/>
    <mergeCell ref="M186:Q186"/>
    <mergeCell ref="M183:M185"/>
    <mergeCell ref="J183:L186"/>
    <mergeCell ref="F191:F194"/>
    <mergeCell ref="D195:D198"/>
    <mergeCell ref="F195:F198"/>
    <mergeCell ref="M215:M216"/>
    <mergeCell ref="D217:D218"/>
    <mergeCell ref="F217:F218"/>
    <mergeCell ref="M217:Q218"/>
    <mergeCell ref="D219:D220"/>
    <mergeCell ref="F179:F182"/>
    <mergeCell ref="D183:D186"/>
    <mergeCell ref="F183:F186"/>
    <mergeCell ref="D227:D228"/>
    <mergeCell ref="F227:F228"/>
    <mergeCell ref="M227:Q228"/>
    <mergeCell ref="M221:M222"/>
    <mergeCell ref="J221:L222"/>
    <mergeCell ref="F225:F226"/>
    <mergeCell ref="G227:I228"/>
    <mergeCell ref="C2:D2"/>
    <mergeCell ref="D211:D212"/>
    <mergeCell ref="D199:D202"/>
    <mergeCell ref="F199:F202"/>
    <mergeCell ref="D207:D210"/>
    <mergeCell ref="G217:I218"/>
    <mergeCell ref="D223:D224"/>
    <mergeCell ref="F223:F224"/>
    <mergeCell ref="D187:D190"/>
    <mergeCell ref="F187:F190"/>
    <mergeCell ref="M187:Q190"/>
    <mergeCell ref="D191:D194"/>
    <mergeCell ref="G187:I190"/>
    <mergeCell ref="M191:M193"/>
    <mergeCell ref="M194:Q194"/>
    <mergeCell ref="M195:M197"/>
    <mergeCell ref="M198:Q198"/>
    <mergeCell ref="F247:F250"/>
    <mergeCell ref="J247:L250"/>
    <mergeCell ref="M247:M250"/>
    <mergeCell ref="D235:D238"/>
    <mergeCell ref="F235:F238"/>
    <mergeCell ref="D239:D242"/>
    <mergeCell ref="F239:F242"/>
    <mergeCell ref="M239:M242"/>
    <mergeCell ref="N242:P242"/>
    <mergeCell ref="D243:D246"/>
    <mergeCell ref="F243:F246"/>
    <mergeCell ref="M225:M226"/>
    <mergeCell ref="F203:F206"/>
    <mergeCell ref="M203:M206"/>
    <mergeCell ref="N206:Q206"/>
    <mergeCell ref="F207:F210"/>
    <mergeCell ref="M207:M210"/>
    <mergeCell ref="B9:B10"/>
    <mergeCell ref="C155:C162"/>
    <mergeCell ref="F211:F212"/>
    <mergeCell ref="M211:Q212"/>
    <mergeCell ref="D213:D214"/>
    <mergeCell ref="N210:Q210"/>
    <mergeCell ref="J207:L210"/>
    <mergeCell ref="M199:Q202"/>
    <mergeCell ref="D203:D206"/>
    <mergeCell ref="G199:I202"/>
    <mergeCell ref="M213:M214"/>
    <mergeCell ref="D215:D216"/>
    <mergeCell ref="J215:L216"/>
    <mergeCell ref="G211:I212"/>
    <mergeCell ref="F213:F214"/>
    <mergeCell ref="F215:F216"/>
    <mergeCell ref="F219:F220"/>
    <mergeCell ref="J195:L198"/>
    <mergeCell ref="C251:C266"/>
    <mergeCell ref="D221:D222"/>
    <mergeCell ref="F221:F222"/>
    <mergeCell ref="M223:Q224"/>
    <mergeCell ref="D225:D226"/>
    <mergeCell ref="G223:I224"/>
    <mergeCell ref="J225:L226"/>
    <mergeCell ref="M219:M220"/>
    <mergeCell ref="J233:L234"/>
    <mergeCell ref="M235:Q238"/>
    <mergeCell ref="M233:M234"/>
    <mergeCell ref="C231:C234"/>
    <mergeCell ref="C235:C250"/>
    <mergeCell ref="D233:D234"/>
    <mergeCell ref="G235:I238"/>
    <mergeCell ref="F233:F234"/>
    <mergeCell ref="J229:L230"/>
    <mergeCell ref="C217:C222"/>
    <mergeCell ref="C223:C226"/>
    <mergeCell ref="C227:C230"/>
    <mergeCell ref="D231:D232"/>
    <mergeCell ref="F231:F232"/>
    <mergeCell ref="G231:I232"/>
    <mergeCell ref="M231:Q232"/>
    <mergeCell ref="D229:D230"/>
    <mergeCell ref="F229:F230"/>
    <mergeCell ref="F259:F262"/>
    <mergeCell ref="M251:Q254"/>
    <mergeCell ref="N250:Q250"/>
    <mergeCell ref="M263:M266"/>
    <mergeCell ref="N266:Q266"/>
    <mergeCell ref="D251:D254"/>
    <mergeCell ref="F251:F254"/>
    <mergeCell ref="D255:D258"/>
    <mergeCell ref="G251:I254"/>
    <mergeCell ref="M255:M257"/>
    <mergeCell ref="M258:Q258"/>
    <mergeCell ref="M259:M261"/>
    <mergeCell ref="D263:D266"/>
    <mergeCell ref="F263:F266"/>
    <mergeCell ref="J263:L266"/>
    <mergeCell ref="F255:F258"/>
    <mergeCell ref="D259:D262"/>
    <mergeCell ref="M262:P262"/>
    <mergeCell ref="M229:M230"/>
    <mergeCell ref="M243:M246"/>
    <mergeCell ref="N246:P246"/>
    <mergeCell ref="D247:D250"/>
  </mergeCells>
  <pageMargins left="1.1811023622047245" right="0.59055118110236227" top="0.59055118110236227" bottom="0.59055118110236227" header="0.31496062992125984" footer="0.31496062992125984"/>
  <pageSetup paperSize="9" scale="90" fitToWidth="5" fitToHeight="5" orientation="landscape" horizontalDpi="4294967295" verticalDpi="4294967295"/>
  <headerFooter>
    <oddHeader>&amp;C&amp;P+R1</oddHeader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2:AB274"/>
  <sheetViews>
    <sheetView zoomScaleNormal="100" workbookViewId="0">
      <selection activeCell="G18" sqref="G18"/>
    </sheetView>
  </sheetViews>
  <sheetFormatPr defaultRowHeight="15" x14ac:dyDescent="0.25"/>
  <cols>
    <col min="2" max="2" bestFit="1" width="4.42578125" customWidth="1" style="1"/>
    <col min="3" max="3" bestFit="1" width="15.7109375" customWidth="1" style="1"/>
    <col min="4" max="4" width="21.5703125" customWidth="1" style="2"/>
    <col min="5" max="5" bestFit="1" width="13.7109375" customWidth="1" style="1"/>
    <col min="6" max="6" width="14.140625" customWidth="1" style="1"/>
    <col min="7" max="7" width="8.5703125" customWidth="1" style="1"/>
    <col min="8" max="8" width="5.28515625" customWidth="1" style="1"/>
    <col min="9" max="9" bestFit="1" width="5.140625" customWidth="1" style="1"/>
    <col min="10" max="10" bestFit="1" width="8.5703125" customWidth="1" style="1"/>
    <col min="11" max="11" width="5" customWidth="1" style="1"/>
    <col min="12" max="12" bestFit="1" width="5.140625" customWidth="1" style="1"/>
    <col min="13" max="13" bestFit="1" width="9.7109375" customWidth="1" style="1"/>
    <col min="14" max="14" bestFit="1" width="7.28515625" customWidth="1" style="1"/>
    <col min="15" max="15" bestFit="1" width="8.28515625" customWidth="1" style="1"/>
    <col min="16" max="16" width="4.85546875" customWidth="1" style="1"/>
    <col min="17" max="17" bestFit="1" width="5.140625" customWidth="1" style="1"/>
    <col min="18" max="18" width="2.28515625" customWidth="1" style="1"/>
    <col min="19" max="19" width="9.140625" customWidth="1" style="1"/>
    <col min="20" max="20" width="25.28515625" customWidth="1" style="1"/>
    <col min="21" max="21" width="4" customWidth="1" style="1"/>
    <col min="22" max="22" width="7" customWidth="1" style="1"/>
    <col min="23" max="23" width="3.85546875" customWidth="1" style="1"/>
    <col min="24" max="24" width="9.140625" customWidth="1" style="1"/>
    <col min="25" max="25" width="9.140625" customWidth="1" style="1"/>
  </cols>
  <sheetData>
    <row r="2">
      <c r="C2" s="321" t="s">
        <v>0</v>
      </c>
      <c r="D2" s="338"/>
      <c r="W2" s="112"/>
      <c r="Y2" s="402" t="s">
        <v>1</v>
      </c>
      <c r="Z2" s="403"/>
      <c r="AA2" s="404"/>
      <c r="AB2" s="107">
        <v>253</v>
      </c>
    </row>
    <row r="3">
      <c r="C3" s="71" t="s">
        <v>2</v>
      </c>
      <c r="D3" s="23" t="s">
        <v>3</v>
      </c>
      <c r="F3" s="361" t="s">
        <v>4</v>
      </c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3"/>
      <c r="R3" s="105"/>
      <c r="W3" s="112"/>
      <c r="Y3" s="165" t="s">
        <v>5</v>
      </c>
      <c r="Z3" s="166"/>
      <c r="AA3" s="137"/>
      <c r="AB3" s="111">
        <f>360-S15+90</f>
        <v>253</v>
      </c>
    </row>
    <row r="4">
      <c r="C4" s="131" t="s">
        <v>6</v>
      </c>
      <c r="D4" s="109">
        <f>IF(RIGHT(C4,1)="L",360-MID(C4,1,FIND("L",C4,1)-1),MID(C4,1,FIND("C",C4,1)-1))+$D$2</f>
        <v>197</v>
      </c>
      <c r="F4" s="364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6"/>
    </row>
    <row r="5">
      <c r="C5" s="131" t="s">
        <v>7</v>
      </c>
      <c r="D5" s="109">
        <f>IF(RIGHT(C5,1)="L",360-MID(C5,1,FIND("L",C5,1)-1),MID(C5,1,FIND("C",C5,1)-1))+$D$2</f>
        <v>79</v>
      </c>
    </row>
    <row r="6">
      <c r="C6" s="148" t="s">
        <v>8</v>
      </c>
      <c r="D6" s="111">
        <f>IF(RIGHT(C6,1)="L",360-MID(C6,1,FIND("L",C6,1)-1),MID(C6,1,FIND("C",C6,1)-1))+$D$2</f>
        <v>315</v>
      </c>
      <c r="E6" s="174" t="s">
        <v>108</v>
      </c>
      <c r="G6" s="174">
        <v>120</v>
      </c>
      <c r="H6" s="174">
        <v>15</v>
      </c>
      <c r="I6" s="174" t="s">
        <v>109</v>
      </c>
    </row>
    <row r="7">
      <c r="E7" s="175" t="s">
        <v>110</v>
      </c>
      <c r="G7" s="175">
        <v>121</v>
      </c>
      <c r="H7" s="175">
        <v>17</v>
      </c>
      <c r="I7" s="175" t="s">
        <v>111</v>
      </c>
    </row>
    <row r="9">
      <c r="B9" s="321" t="s">
        <v>9</v>
      </c>
      <c r="C9" s="400" t="s">
        <v>10</v>
      </c>
      <c r="D9" s="368" t="s">
        <v>11</v>
      </c>
      <c r="E9" s="368" t="s">
        <v>12</v>
      </c>
      <c r="F9" s="368" t="s">
        <v>13</v>
      </c>
      <c r="G9" s="368"/>
      <c r="H9" s="368"/>
      <c r="I9" s="368"/>
      <c r="J9" s="368"/>
      <c r="K9" s="368"/>
      <c r="L9" s="368"/>
      <c r="M9" s="368" t="s">
        <v>14</v>
      </c>
      <c r="N9" s="368"/>
      <c r="O9" s="368"/>
      <c r="P9" s="368"/>
      <c r="Q9" s="370"/>
      <c r="R9" s="3"/>
      <c r="S9" s="7"/>
      <c r="T9" s="7"/>
      <c r="U9" s="7"/>
      <c r="V9" s="7"/>
      <c r="W9" s="7"/>
      <c r="X9" s="7"/>
      <c r="Y9" s="7"/>
    </row>
    <row r="10" ht="28.5">
      <c r="B10" s="322"/>
      <c r="C10" s="401"/>
      <c r="D10" s="369"/>
      <c r="E10" s="369"/>
      <c r="F10" s="128" t="s">
        <v>15</v>
      </c>
      <c r="G10" s="128" t="s">
        <v>16</v>
      </c>
      <c r="H10" s="83" t="s">
        <v>17</v>
      </c>
      <c r="I10" s="83" t="s">
        <v>18</v>
      </c>
      <c r="J10" s="128" t="s">
        <v>19</v>
      </c>
      <c r="K10" s="83" t="s">
        <v>17</v>
      </c>
      <c r="L10" s="83" t="s">
        <v>18</v>
      </c>
      <c r="M10" s="128" t="s">
        <v>20</v>
      </c>
      <c r="N10" s="128" t="s">
        <v>21</v>
      </c>
      <c r="O10" s="128" t="s">
        <v>22</v>
      </c>
      <c r="P10" s="83" t="s">
        <v>17</v>
      </c>
      <c r="Q10" s="84" t="s">
        <v>18</v>
      </c>
      <c r="R10" s="3"/>
      <c r="S10" s="130" t="s">
        <v>18</v>
      </c>
      <c r="T10" s="106" t="s">
        <v>23</v>
      </c>
      <c r="U10" s="405" t="s">
        <v>24</v>
      </c>
      <c r="V10" s="404"/>
      <c r="W10" s="405" t="s">
        <v>25</v>
      </c>
      <c r="X10" s="406"/>
      <c r="Y10" s="7"/>
    </row>
    <row r="11" ht="15" customHeight="1">
      <c r="B11" s="103">
        <v>41</v>
      </c>
      <c r="C11" s="394" t="s">
        <v>112</v>
      </c>
      <c r="D11" s="286" t="s">
        <v>113</v>
      </c>
      <c r="E11" s="122" t="s">
        <v>108</v>
      </c>
      <c r="F11" s="265" t="s">
        <v>114</v>
      </c>
      <c r="G11" s="122">
        <v>120</v>
      </c>
      <c r="H11" s="122">
        <v>15</v>
      </c>
      <c r="I11" s="122" t="s">
        <v>109</v>
      </c>
      <c r="J11" s="268" t="s">
        <v>37</v>
      </c>
      <c r="K11" s="269"/>
      <c r="L11" s="292"/>
      <c r="M11" s="265" t="s">
        <v>72</v>
      </c>
      <c r="N11" s="122">
        <v>2</v>
      </c>
      <c r="O11" s="122">
        <v>4</v>
      </c>
      <c r="P11" s="122">
        <v>16</v>
      </c>
      <c r="Q11" s="134" t="s">
        <v>115</v>
      </c>
      <c r="R11" s="3"/>
      <c r="S11" s="131">
        <f>IF(RIGHT(Q11,1)="L",360-MID(Q11,1,FIND("L",Q11,1)-1),MID(Q11,1,FIND("C",Q11,1)-1))</f>
        <v>198</v>
      </c>
      <c r="T11" s="108">
        <f>IF((S11+$AB$2)&gt;359,(S11+$AB$2)-360,S11+$AB$2)</f>
        <v>91</v>
      </c>
      <c r="U11" s="138">
        <v>0</v>
      </c>
      <c r="V11" s="138">
        <f>P11*COS(RADIANS(T11))</f>
        <v>-0.27923850299653563</v>
      </c>
      <c r="W11" s="144">
        <v>0</v>
      </c>
      <c r="X11" s="139">
        <f>P11*SIN(RADIANS(T11))</f>
        <v>15.99756312250226</v>
      </c>
      <c r="Y11" s="7"/>
    </row>
    <row r="12">
      <c r="B12" s="103">
        <v>42</v>
      </c>
      <c r="C12" s="395"/>
      <c r="D12" s="287"/>
      <c r="E12" s="123" t="s">
        <v>110</v>
      </c>
      <c r="F12" s="266"/>
      <c r="G12" s="123">
        <v>121</v>
      </c>
      <c r="H12" s="123">
        <v>17</v>
      </c>
      <c r="I12" s="123" t="s">
        <v>111</v>
      </c>
      <c r="J12" s="271"/>
      <c r="K12" s="272"/>
      <c r="L12" s="293"/>
      <c r="M12" s="266"/>
      <c r="N12" s="123">
        <v>6</v>
      </c>
      <c r="O12" s="123">
        <v>8</v>
      </c>
      <c r="P12" s="123">
        <v>16</v>
      </c>
      <c r="Q12" s="135" t="s">
        <v>116</v>
      </c>
      <c r="R12" s="3"/>
      <c r="S12" s="131" t="str">
        <f>IF(RIGHT(Q12,1)="L",360-MID(Q12,1,FIND("L",Q12,1)-1),MID(Q12,1,FIND("C",Q12,1)-1))</f>
        <v>77</v>
      </c>
      <c r="T12" s="108">
        <f>IF((S12+$AB$2)&gt;359,(S12+$AB$2)-360,S12+$AB$2)</f>
        <v>330</v>
      </c>
      <c r="U12" s="140">
        <v>0</v>
      </c>
      <c r="V12" s="140">
        <f>P12*COS(RADIANS(T12))</f>
        <v>13.856406460551014</v>
      </c>
      <c r="W12" s="145">
        <v>0</v>
      </c>
      <c r="X12" s="141">
        <f>P12*SIN(RADIANS(T12))</f>
        <v>-8.000000000000007</v>
      </c>
      <c r="Y12" s="7"/>
    </row>
    <row r="13">
      <c r="B13" s="103">
        <v>43</v>
      </c>
      <c r="C13" s="395"/>
      <c r="D13" s="287"/>
      <c r="E13" s="123" t="s">
        <v>117</v>
      </c>
      <c r="F13" s="266"/>
      <c r="G13" s="123">
        <v>122</v>
      </c>
      <c r="H13" s="123">
        <v>16</v>
      </c>
      <c r="I13" s="123" t="s">
        <v>118</v>
      </c>
      <c r="J13" s="376"/>
      <c r="K13" s="377"/>
      <c r="L13" s="378"/>
      <c r="M13" s="295"/>
      <c r="N13" s="123">
        <v>10</v>
      </c>
      <c r="O13" s="123">
        <v>12</v>
      </c>
      <c r="P13" s="123">
        <v>16</v>
      </c>
      <c r="Q13" s="135" t="s">
        <v>8</v>
      </c>
      <c r="R13" s="3"/>
      <c r="S13" s="148">
        <f>IF(RIGHT(Q13,1)="L",360-MID(Q13,1,FIND("L",Q13,1)-1),MID(Q13,1,FIND("C",Q13,1)-1))</f>
        <v>315</v>
      </c>
      <c r="T13" s="110">
        <f>IF((S13+$AB$2)&gt;359,(S13+$AB$2)-360,S13+$AB$2)</f>
        <v>208</v>
      </c>
      <c r="U13" s="142">
        <v>0</v>
      </c>
      <c r="V13" s="142">
        <f>P13*COS(RADIANS(T13))</f>
        <v>-14.12716148574283</v>
      </c>
      <c r="W13" s="146">
        <v>0</v>
      </c>
      <c r="X13" s="143">
        <f>P13*SIN(RADIANS(T13))</f>
        <v>-7.511545004574254</v>
      </c>
      <c r="Y13" s="7"/>
    </row>
    <row r="14">
      <c r="B14" s="103">
        <v>44</v>
      </c>
      <c r="C14" s="396"/>
      <c r="D14" s="288"/>
      <c r="E14" s="124" t="s">
        <v>119</v>
      </c>
      <c r="F14" s="267"/>
      <c r="G14" s="124">
        <v>123</v>
      </c>
      <c r="H14" s="124">
        <v>1</v>
      </c>
      <c r="I14" s="124" t="s">
        <v>37</v>
      </c>
      <c r="J14" s="124">
        <v>126</v>
      </c>
      <c r="K14" s="124">
        <v>0</v>
      </c>
      <c r="L14" s="124" t="s">
        <v>37</v>
      </c>
      <c r="M14" s="373" t="s">
        <v>37</v>
      </c>
      <c r="N14" s="374"/>
      <c r="O14" s="374"/>
      <c r="P14" s="374"/>
      <c r="Q14" s="375"/>
      <c r="R14" s="3"/>
      <c r="S14" s="130" t="s">
        <v>18</v>
      </c>
      <c r="T14" s="106" t="s">
        <v>23</v>
      </c>
      <c r="U14" s="405" t="s">
        <v>24</v>
      </c>
      <c r="V14" s="404"/>
      <c r="W14" s="405" t="s">
        <v>25</v>
      </c>
      <c r="X14" s="406"/>
      <c r="Y14" s="7"/>
    </row>
    <row r="15" ht="15" customHeight="1">
      <c r="B15" s="103">
        <v>177</v>
      </c>
      <c r="C15" s="323" t="s">
        <v>120</v>
      </c>
      <c r="D15" s="261" t="s">
        <v>113</v>
      </c>
      <c r="E15" s="106" t="s">
        <v>121</v>
      </c>
      <c r="F15" s="339" t="s">
        <v>114</v>
      </c>
      <c r="G15" s="119">
        <v>128</v>
      </c>
      <c r="H15" s="106">
        <v>32</v>
      </c>
      <c r="I15" s="106" t="s">
        <v>122</v>
      </c>
      <c r="J15" s="119">
        <v>132</v>
      </c>
      <c r="K15" s="106">
        <v>31</v>
      </c>
      <c r="L15" s="106" t="s">
        <v>123</v>
      </c>
      <c r="M15" s="339" t="s">
        <v>92</v>
      </c>
      <c r="N15" s="119">
        <v>2</v>
      </c>
      <c r="O15" s="119">
        <v>4</v>
      </c>
      <c r="P15" s="106">
        <v>32</v>
      </c>
      <c r="Q15" s="107" t="s">
        <v>6</v>
      </c>
      <c r="R15" s="112"/>
      <c r="S15" s="131">
        <f>IF(RIGHT(Q15,1)="L",360-MID(Q15,1,FIND("L",Q15,1)-1),MID(Q15,1,FIND("C",Q15,1)-1))</f>
        <v>197</v>
      </c>
      <c r="T15" s="108">
        <f>IF((S15+$AB$2)&gt;359,(S15+$AB$2)-360,S15+$AB$2)</f>
        <v>90</v>
      </c>
      <c r="U15" s="138">
        <v>0</v>
      </c>
      <c r="V15" s="138">
        <f>P15*COS(RADIANS(T15))</f>
        <v>1.960237527853792E-15</v>
      </c>
      <c r="W15" s="144">
        <v>0</v>
      </c>
      <c r="X15" s="139">
        <f>P15*SIN(RADIANS(T15))</f>
        <v>32</v>
      </c>
    </row>
    <row r="16">
      <c r="B16" s="103">
        <v>178</v>
      </c>
      <c r="C16" s="324"/>
      <c r="D16" s="326"/>
      <c r="E16" s="108" t="s">
        <v>124</v>
      </c>
      <c r="F16" s="340"/>
      <c r="G16" s="120">
        <v>129</v>
      </c>
      <c r="H16" s="108">
        <v>34</v>
      </c>
      <c r="I16" s="108" t="s">
        <v>116</v>
      </c>
      <c r="J16" s="120">
        <v>133</v>
      </c>
      <c r="K16" s="108">
        <v>34</v>
      </c>
      <c r="L16" s="108" t="s">
        <v>116</v>
      </c>
      <c r="M16" s="340"/>
      <c r="N16" s="120">
        <v>6</v>
      </c>
      <c r="O16" s="120">
        <v>8</v>
      </c>
      <c r="P16" s="108">
        <v>33</v>
      </c>
      <c r="Q16" s="109" t="s">
        <v>116</v>
      </c>
      <c r="R16" s="112"/>
      <c r="S16" s="131" t="str">
        <f>IF(RIGHT(Q16,1)="L",360-MID(Q16,1,FIND("L",Q16,1)-1),MID(Q16,1,FIND("C",Q16,1)-1))</f>
        <v>77</v>
      </c>
      <c r="T16" s="108">
        <f>IF((S16+$AB$2)&gt;359,(S16+$AB$2)-360,S16+$AB$2)</f>
        <v>330</v>
      </c>
      <c r="U16" s="140">
        <v>0</v>
      </c>
      <c r="V16" s="140">
        <f>P16*COS(RADIANS(T16))</f>
        <v>28.578838324886465</v>
      </c>
      <c r="W16" s="145">
        <v>0</v>
      </c>
      <c r="X16" s="141">
        <f>P16*SIN(RADIANS(T16))</f>
        <v>-16.500000000000014</v>
      </c>
    </row>
    <row r="17">
      <c r="B17" s="103">
        <v>179</v>
      </c>
      <c r="C17" s="324"/>
      <c r="D17" s="326"/>
      <c r="E17" s="120" t="s">
        <v>125</v>
      </c>
      <c r="F17" s="340"/>
      <c r="G17" s="120">
        <v>130</v>
      </c>
      <c r="H17" s="108">
        <v>31</v>
      </c>
      <c r="I17" s="108" t="s">
        <v>126</v>
      </c>
      <c r="J17" s="120">
        <v>134</v>
      </c>
      <c r="K17" s="108">
        <v>31</v>
      </c>
      <c r="L17" s="108" t="s">
        <v>126</v>
      </c>
      <c r="M17" s="340"/>
      <c r="N17" s="120">
        <v>10</v>
      </c>
      <c r="O17" s="120">
        <v>12</v>
      </c>
      <c r="P17" s="108">
        <v>33</v>
      </c>
      <c r="Q17" s="109" t="s">
        <v>8</v>
      </c>
      <c r="R17" s="112"/>
      <c r="S17" s="148">
        <f>IF(RIGHT(Q17,1)="L",360-MID(Q17,1,FIND("L",Q17,1)-1),MID(Q17,1,FIND("C",Q17,1)-1))</f>
        <v>315</v>
      </c>
      <c r="T17" s="110">
        <f>IF((S17+$AB$2)&gt;359,(S17+$AB$2)-360,S17+$AB$2)</f>
        <v>208</v>
      </c>
      <c r="U17" s="142">
        <v>0</v>
      </c>
      <c r="V17" s="142">
        <f>P17*COS(RADIANS(T17))</f>
        <v>-29.137270564344586</v>
      </c>
      <c r="W17" s="146">
        <v>0</v>
      </c>
      <c r="X17" s="143">
        <f>P17*SIN(RADIANS(T17))</f>
        <v>-15.492561571934399</v>
      </c>
    </row>
    <row r="18">
      <c r="B18" s="103">
        <v>180</v>
      </c>
      <c r="C18" s="325"/>
      <c r="D18" s="262"/>
      <c r="E18" s="121" t="s">
        <v>127</v>
      </c>
      <c r="F18" s="342"/>
      <c r="G18" s="121">
        <v>131</v>
      </c>
      <c r="H18" s="110">
        <v>1</v>
      </c>
      <c r="I18" s="110" t="s">
        <v>37</v>
      </c>
      <c r="J18" s="121">
        <v>135</v>
      </c>
      <c r="K18" s="110"/>
      <c r="L18" s="110"/>
      <c r="M18" s="342" t="s">
        <v>37</v>
      </c>
      <c r="N18" s="342"/>
      <c r="O18" s="342"/>
      <c r="P18" s="342"/>
      <c r="Q18" s="347"/>
      <c r="R18" s="112"/>
      <c r="S18" s="130" t="s">
        <v>18</v>
      </c>
      <c r="T18" s="106" t="s">
        <v>23</v>
      </c>
      <c r="U18" s="405" t="s">
        <v>24</v>
      </c>
      <c r="V18" s="404"/>
      <c r="W18" s="405" t="s">
        <v>25</v>
      </c>
      <c r="X18" s="406"/>
    </row>
    <row r="19" ht="15" customHeight="1">
      <c r="B19" s="103">
        <v>201</v>
      </c>
      <c r="C19" s="323" t="s">
        <v>128</v>
      </c>
      <c r="D19" s="261" t="s">
        <v>113</v>
      </c>
      <c r="E19" s="106" t="s">
        <v>129</v>
      </c>
      <c r="F19" s="303" t="s">
        <v>114</v>
      </c>
      <c r="G19" s="119">
        <v>136</v>
      </c>
      <c r="H19" s="106">
        <v>32</v>
      </c>
      <c r="I19" s="106" t="s">
        <v>130</v>
      </c>
      <c r="J19" s="119">
        <v>140</v>
      </c>
      <c r="K19" s="106">
        <v>31</v>
      </c>
      <c r="L19" s="106" t="s">
        <v>130</v>
      </c>
      <c r="M19" s="303" t="s">
        <v>79</v>
      </c>
      <c r="N19" s="119">
        <v>2</v>
      </c>
      <c r="O19" s="119">
        <v>4</v>
      </c>
      <c r="P19" s="106">
        <v>32</v>
      </c>
      <c r="Q19" s="107" t="s">
        <v>131</v>
      </c>
      <c r="R19" s="112"/>
      <c r="S19" s="131">
        <f>IF(RIGHT(Q19,1)="L",360-MID(Q19,1,FIND("L",Q19,1)-1),MID(Q19,1,FIND("C",Q19,1)-1))</f>
        <v>196</v>
      </c>
      <c r="T19" s="108">
        <f>IF((S19+$AB$2)&gt;359,(S19+$AB$2)-360,S19+$AB$2)</f>
        <v>89</v>
      </c>
      <c r="U19" s="138">
        <v>0</v>
      </c>
      <c r="V19" s="138">
        <f>P19*COS(RADIANS(T19))</f>
        <v>0.5584770059930751</v>
      </c>
      <c r="W19" s="144">
        <v>0</v>
      </c>
      <c r="X19" s="139">
        <f>P19*SIN(RADIANS(T19))</f>
        <v>31.99512624500452</v>
      </c>
    </row>
    <row r="20">
      <c r="B20" s="103">
        <v>202</v>
      </c>
      <c r="C20" s="324"/>
      <c r="D20" s="326"/>
      <c r="E20" s="108" t="s">
        <v>132</v>
      </c>
      <c r="F20" s="317"/>
      <c r="G20" s="120">
        <v>137</v>
      </c>
      <c r="H20" s="108">
        <v>31</v>
      </c>
      <c r="I20" s="108" t="s">
        <v>133</v>
      </c>
      <c r="J20" s="120">
        <v>141</v>
      </c>
      <c r="K20" s="108">
        <v>34</v>
      </c>
      <c r="L20" s="108" t="s">
        <v>116</v>
      </c>
      <c r="M20" s="317"/>
      <c r="N20" s="120">
        <v>6</v>
      </c>
      <c r="O20" s="120">
        <v>8</v>
      </c>
      <c r="P20" s="108">
        <v>32</v>
      </c>
      <c r="Q20" s="109" t="s">
        <v>116</v>
      </c>
      <c r="R20" s="112"/>
      <c r="S20" s="131" t="str">
        <f>IF(RIGHT(Q20,1)="L",360-MID(Q20,1,FIND("L",Q20,1)-1),MID(Q20,1,FIND("C",Q20,1)-1))</f>
        <v>77</v>
      </c>
      <c r="T20" s="108">
        <f>IF((S20+$AB$2)&gt;359,(S20+$AB$2)-360,S20+$AB$2)</f>
        <v>330</v>
      </c>
      <c r="U20" s="140">
        <v>0</v>
      </c>
      <c r="V20" s="140">
        <f>P20*COS(RADIANS(T20))</f>
        <v>27.712812921102028</v>
      </c>
      <c r="W20" s="145">
        <v>0</v>
      </c>
      <c r="X20" s="141">
        <f>P20*SIN(RADIANS(T20))</f>
        <v>-16.000000000000014</v>
      </c>
    </row>
    <row r="21">
      <c r="B21" s="103">
        <v>203</v>
      </c>
      <c r="C21" s="324"/>
      <c r="D21" s="326"/>
      <c r="E21" s="120" t="s">
        <v>134</v>
      </c>
      <c r="F21" s="317"/>
      <c r="G21" s="120">
        <v>138</v>
      </c>
      <c r="H21" s="108">
        <v>32</v>
      </c>
      <c r="I21" s="108" t="s">
        <v>135</v>
      </c>
      <c r="J21" s="120">
        <v>142</v>
      </c>
      <c r="K21" s="108">
        <v>32</v>
      </c>
      <c r="L21" s="108" t="s">
        <v>135</v>
      </c>
      <c r="M21" s="317"/>
      <c r="N21" s="120">
        <v>10</v>
      </c>
      <c r="O21" s="120">
        <v>12</v>
      </c>
      <c r="P21" s="108">
        <v>32</v>
      </c>
      <c r="Q21" s="109" t="s">
        <v>8</v>
      </c>
      <c r="R21" s="112"/>
      <c r="S21" s="148">
        <f>IF(RIGHT(Q21,1)="L",360-MID(Q21,1,FIND("L",Q21,1)-1),MID(Q21,1,FIND("C",Q21,1)-1))</f>
        <v>315</v>
      </c>
      <c r="T21" s="110">
        <f>IF((S21+$AB$2)&gt;359,(S21+$AB$2)-360,S21+$AB$2)</f>
        <v>208</v>
      </c>
      <c r="U21" s="142">
        <v>0</v>
      </c>
      <c r="V21" s="142">
        <f>P21*COS(RADIANS(T21))</f>
        <v>-28.25432297148566</v>
      </c>
      <c r="W21" s="146">
        <v>0</v>
      </c>
      <c r="X21" s="143">
        <f>P21*SIN(RADIANS(T21))</f>
        <v>-15.023090009148508</v>
      </c>
    </row>
    <row r="22">
      <c r="B22" s="103">
        <v>204</v>
      </c>
      <c r="C22" s="325"/>
      <c r="D22" s="262"/>
      <c r="E22" s="121" t="s">
        <v>136</v>
      </c>
      <c r="F22" s="304"/>
      <c r="G22" s="121">
        <v>139</v>
      </c>
      <c r="H22" s="110">
        <v>0</v>
      </c>
      <c r="I22" s="110" t="s">
        <v>37</v>
      </c>
      <c r="J22" s="121">
        <v>143</v>
      </c>
      <c r="K22" s="110"/>
      <c r="L22" s="110"/>
      <c r="M22" s="304"/>
      <c r="N22" s="318" t="s">
        <v>37</v>
      </c>
      <c r="O22" s="319"/>
      <c r="P22" s="319"/>
      <c r="Q22" s="320"/>
      <c r="R22" s="112"/>
    </row>
    <row r="23" ht="15" customHeight="1">
      <c r="B23" s="103">
        <v>227</v>
      </c>
      <c r="C23" s="323" t="s">
        <v>137</v>
      </c>
      <c r="D23" s="261" t="s">
        <v>113</v>
      </c>
      <c r="E23" s="106" t="s">
        <v>138</v>
      </c>
      <c r="F23" s="263" t="s">
        <v>114</v>
      </c>
      <c r="G23" s="106">
        <v>144</v>
      </c>
      <c r="H23" s="106">
        <v>0</v>
      </c>
      <c r="I23" s="106" t="s">
        <v>37</v>
      </c>
      <c r="J23" s="305" t="s">
        <v>37</v>
      </c>
      <c r="K23" s="306"/>
      <c r="L23" s="314"/>
      <c r="M23" s="303" t="s">
        <v>139</v>
      </c>
      <c r="N23" s="119">
        <v>2</v>
      </c>
      <c r="O23" s="106">
        <v>2</v>
      </c>
      <c r="P23" s="106">
        <v>0</v>
      </c>
      <c r="Q23" s="107" t="s">
        <v>37</v>
      </c>
      <c r="R23" s="112"/>
    </row>
    <row r="24">
      <c r="B24" s="103">
        <v>228</v>
      </c>
      <c r="C24" s="325"/>
      <c r="D24" s="262"/>
      <c r="E24" s="110" t="s">
        <v>140</v>
      </c>
      <c r="F24" s="264"/>
      <c r="G24" s="110">
        <v>145</v>
      </c>
      <c r="H24" s="110">
        <v>0</v>
      </c>
      <c r="I24" s="110" t="s">
        <v>37</v>
      </c>
      <c r="J24" s="311"/>
      <c r="K24" s="312"/>
      <c r="L24" s="316"/>
      <c r="M24" s="304"/>
      <c r="N24" s="121">
        <v>2</v>
      </c>
      <c r="O24" s="110">
        <v>4</v>
      </c>
      <c r="P24" s="110">
        <v>0</v>
      </c>
      <c r="Q24" s="111" t="s">
        <v>37</v>
      </c>
      <c r="R24" s="112"/>
      <c r="S24" s="130" t="s">
        <v>18</v>
      </c>
      <c r="T24" s="106" t="s">
        <v>23</v>
      </c>
      <c r="U24" s="405" t="s">
        <v>24</v>
      </c>
      <c r="V24" s="404"/>
      <c r="W24" s="405" t="s">
        <v>25</v>
      </c>
      <c r="X24" s="406"/>
    </row>
    <row r="25">
      <c r="B25" s="103">
        <v>61</v>
      </c>
      <c r="C25" s="394" t="s">
        <v>141</v>
      </c>
      <c r="D25" s="286" t="s">
        <v>142</v>
      </c>
      <c r="E25" s="122" t="s">
        <v>143</v>
      </c>
      <c r="F25" s="348" t="s">
        <v>114</v>
      </c>
      <c r="G25" s="122">
        <v>120</v>
      </c>
      <c r="H25" s="122">
        <v>15</v>
      </c>
      <c r="I25" s="122" t="s">
        <v>144</v>
      </c>
      <c r="J25" s="122">
        <v>124</v>
      </c>
      <c r="K25" s="122">
        <v>0</v>
      </c>
      <c r="L25" s="122" t="s">
        <v>37</v>
      </c>
      <c r="M25" s="348" t="s">
        <v>72</v>
      </c>
      <c r="N25" s="122">
        <v>2</v>
      </c>
      <c r="O25" s="122">
        <v>4</v>
      </c>
      <c r="P25" s="122">
        <v>15</v>
      </c>
      <c r="Q25" s="134" t="s">
        <v>144</v>
      </c>
      <c r="R25" s="112"/>
      <c r="S25" s="131">
        <f>IF(RIGHT(Q25,1)="L",360-MID(Q25,1,FIND("L",Q25,1)-1),MID(Q25,1,FIND("C",Q25,1)-1))</f>
        <v>185</v>
      </c>
      <c r="T25" s="108">
        <f>IF((S25+$AB$2)&gt;359,(S25+$AB$2)-360,S25+$AB$2)</f>
        <v>78</v>
      </c>
      <c r="U25" s="138">
        <v>0</v>
      </c>
      <c r="V25" s="138">
        <f>P25*COS(RADIANS(T25))</f>
        <v>3.1186753622663916</v>
      </c>
      <c r="W25" s="144">
        <v>0</v>
      </c>
      <c r="X25" s="139">
        <f>P25*SIN(RADIANS(T25))</f>
        <v>14.672214011007084</v>
      </c>
    </row>
    <row r="26">
      <c r="B26" s="103">
        <v>62</v>
      </c>
      <c r="C26" s="395"/>
      <c r="D26" s="287"/>
      <c r="E26" s="123" t="s">
        <v>145</v>
      </c>
      <c r="F26" s="349"/>
      <c r="G26" s="123">
        <v>121</v>
      </c>
      <c r="H26" s="123">
        <v>18</v>
      </c>
      <c r="I26" s="123" t="s">
        <v>116</v>
      </c>
      <c r="J26" s="123">
        <v>125</v>
      </c>
      <c r="K26" s="123">
        <v>0</v>
      </c>
      <c r="L26" s="123" t="s">
        <v>37</v>
      </c>
      <c r="M26" s="349"/>
      <c r="N26" s="123">
        <v>6</v>
      </c>
      <c r="O26" s="123">
        <v>8</v>
      </c>
      <c r="P26" s="123">
        <v>18</v>
      </c>
      <c r="Q26" s="135" t="s">
        <v>116</v>
      </c>
      <c r="R26" s="112"/>
      <c r="S26" s="131" t="str">
        <f>IF(RIGHT(Q26,1)="L",360-MID(Q26,1,FIND("L",Q26,1)-1),MID(Q26,1,FIND("C",Q26,1)-1))</f>
        <v>77</v>
      </c>
      <c r="T26" s="108">
        <f>IF((S26+$AB$2)&gt;359,(S26+$AB$2)-360,S26+$AB$2)</f>
        <v>330</v>
      </c>
      <c r="U26" s="140">
        <v>0</v>
      </c>
      <c r="V26" s="140">
        <f>P26*COS(RADIANS(T26))</f>
        <v>15.58845726811989</v>
      </c>
      <c r="W26" s="145">
        <v>0</v>
      </c>
      <c r="X26" s="141">
        <f>P26*SIN(RADIANS(T26))</f>
        <v>-9.000000000000007</v>
      </c>
    </row>
    <row r="27">
      <c r="B27" s="103">
        <v>63</v>
      </c>
      <c r="C27" s="395"/>
      <c r="D27" s="287"/>
      <c r="E27" s="123" t="s">
        <v>146</v>
      </c>
      <c r="F27" s="349"/>
      <c r="G27" s="123">
        <v>122</v>
      </c>
      <c r="H27" s="123">
        <v>15</v>
      </c>
      <c r="I27" s="123" t="s">
        <v>147</v>
      </c>
      <c r="J27" s="123">
        <v>126</v>
      </c>
      <c r="K27" s="123">
        <v>0</v>
      </c>
      <c r="L27" s="123" t="s">
        <v>37</v>
      </c>
      <c r="M27" s="349"/>
      <c r="N27" s="123">
        <v>10</v>
      </c>
      <c r="O27" s="123">
        <v>12</v>
      </c>
      <c r="P27" s="123">
        <v>15</v>
      </c>
      <c r="Q27" s="135" t="s">
        <v>147</v>
      </c>
      <c r="R27" s="112"/>
      <c r="S27" s="148">
        <f>IF(RIGHT(Q27,1)="L",360-MID(Q27,1,FIND("L",Q27,1)-1),MID(Q27,1,FIND("C",Q27,1)-1))</f>
        <v>318</v>
      </c>
      <c r="T27" s="110">
        <f>IF((S27+$AB$2)&gt;359,(S27+$AB$2)-360,S27+$AB$2)</f>
        <v>211</v>
      </c>
      <c r="U27" s="142">
        <v>0</v>
      </c>
      <c r="V27" s="142">
        <f>P27*COS(RADIANS(T27))</f>
        <v>-12.857509510531685</v>
      </c>
      <c r="W27" s="146">
        <v>0</v>
      </c>
      <c r="X27" s="143">
        <f>P27*SIN(RADIANS(T27))</f>
        <v>-7.725571123650813</v>
      </c>
    </row>
    <row r="28">
      <c r="B28" s="103">
        <v>64</v>
      </c>
      <c r="C28" s="396"/>
      <c r="D28" s="288"/>
      <c r="E28" s="124" t="s">
        <v>148</v>
      </c>
      <c r="F28" s="350"/>
      <c r="G28" s="124">
        <v>123</v>
      </c>
      <c r="H28" s="124">
        <v>2</v>
      </c>
      <c r="I28" s="124" t="s">
        <v>37</v>
      </c>
      <c r="J28" s="124">
        <v>127</v>
      </c>
      <c r="K28" s="124">
        <v>0</v>
      </c>
      <c r="L28" s="124" t="s">
        <v>37</v>
      </c>
      <c r="M28" s="350" t="s">
        <v>37</v>
      </c>
      <c r="N28" s="350"/>
      <c r="O28" s="350"/>
      <c r="P28" s="350"/>
      <c r="Q28" s="353"/>
      <c r="R28" s="112"/>
      <c r="S28" s="130" t="s">
        <v>18</v>
      </c>
      <c r="T28" s="106" t="s">
        <v>23</v>
      </c>
      <c r="U28" s="405" t="s">
        <v>24</v>
      </c>
      <c r="V28" s="404"/>
      <c r="W28" s="405" t="s">
        <v>25</v>
      </c>
      <c r="X28" s="406"/>
    </row>
    <row r="29">
      <c r="B29" s="103">
        <v>165</v>
      </c>
      <c r="C29" s="394" t="s">
        <v>149</v>
      </c>
      <c r="D29" s="286" t="s">
        <v>142</v>
      </c>
      <c r="E29" s="122" t="s">
        <v>150</v>
      </c>
      <c r="F29" s="348" t="s">
        <v>114</v>
      </c>
      <c r="G29" s="122">
        <v>128</v>
      </c>
      <c r="H29" s="122">
        <v>31</v>
      </c>
      <c r="I29" s="122" t="s">
        <v>130</v>
      </c>
      <c r="J29" s="122">
        <v>132</v>
      </c>
      <c r="K29" s="122">
        <v>32</v>
      </c>
      <c r="L29" s="122" t="s">
        <v>115</v>
      </c>
      <c r="M29" s="348" t="s">
        <v>92</v>
      </c>
      <c r="N29" s="122">
        <v>2</v>
      </c>
      <c r="O29" s="122">
        <v>4</v>
      </c>
      <c r="P29" s="122">
        <v>32</v>
      </c>
      <c r="Q29" s="134" t="s">
        <v>131</v>
      </c>
      <c r="R29" s="112"/>
      <c r="S29" s="131">
        <f>IF(RIGHT(Q29,1)="L",360-MID(Q29,1,FIND("L",Q29,1)-1),MID(Q29,1,FIND("C",Q29,1)-1))</f>
        <v>196</v>
      </c>
      <c r="T29" s="108">
        <f>IF((S29+$AB$2)&gt;359,(S29+$AB$2)-360,S29+$AB$2)</f>
        <v>89</v>
      </c>
      <c r="U29" s="138">
        <v>0</v>
      </c>
      <c r="V29" s="138">
        <f>P29*COS(RADIANS(T29))</f>
        <v>0.5584770059930751</v>
      </c>
      <c r="W29" s="144">
        <v>0</v>
      </c>
      <c r="X29" s="139">
        <f>P29*SIN(RADIANS(T29))</f>
        <v>31.99512624500452</v>
      </c>
    </row>
    <row r="30">
      <c r="B30" s="103">
        <v>166</v>
      </c>
      <c r="C30" s="395"/>
      <c r="D30" s="287"/>
      <c r="E30" s="123" t="s">
        <v>151</v>
      </c>
      <c r="F30" s="349"/>
      <c r="G30" s="123">
        <v>129</v>
      </c>
      <c r="H30" s="123">
        <v>31</v>
      </c>
      <c r="I30" s="123" t="s">
        <v>116</v>
      </c>
      <c r="J30" s="123">
        <v>133</v>
      </c>
      <c r="K30" s="123">
        <v>35</v>
      </c>
      <c r="L30" s="123" t="s">
        <v>116</v>
      </c>
      <c r="M30" s="349"/>
      <c r="N30" s="123">
        <v>6</v>
      </c>
      <c r="O30" s="123">
        <v>8</v>
      </c>
      <c r="P30" s="123">
        <v>33</v>
      </c>
      <c r="Q30" s="135" t="s">
        <v>133</v>
      </c>
      <c r="S30" s="131" t="str">
        <f>IF(RIGHT(Q30,1)="L",360-MID(Q30,1,FIND("L",Q30,1)-1),MID(Q30,1,FIND("C",Q30,1)-1))</f>
        <v>78</v>
      </c>
      <c r="T30" s="108">
        <f>IF((S30+$AB$2)&gt;359,(S30+$AB$2)-360,S30+$AB$2)</f>
        <v>331</v>
      </c>
      <c r="U30" s="140">
        <v>0</v>
      </c>
      <c r="V30" s="140">
        <f>P30*COS(RADIANS(T30))</f>
        <v>28.862450335600062</v>
      </c>
      <c r="W30" s="145">
        <v>0</v>
      </c>
      <c r="X30" s="141">
        <f>P30*SIN(RADIANS(T30))</f>
        <v>-15.998717468129117</v>
      </c>
    </row>
    <row r="31" ht="15" customHeight="1">
      <c r="B31" s="103">
        <v>167</v>
      </c>
      <c r="C31" s="395"/>
      <c r="D31" s="287"/>
      <c r="E31" s="123" t="s">
        <v>152</v>
      </c>
      <c r="F31" s="349"/>
      <c r="G31" s="123">
        <v>130</v>
      </c>
      <c r="H31" s="123">
        <v>31</v>
      </c>
      <c r="I31" s="123" t="s">
        <v>153</v>
      </c>
      <c r="J31" s="123">
        <v>134</v>
      </c>
      <c r="K31" s="123">
        <v>31</v>
      </c>
      <c r="L31" s="123" t="s">
        <v>126</v>
      </c>
      <c r="M31" s="349"/>
      <c r="N31" s="123">
        <v>10</v>
      </c>
      <c r="O31" s="123">
        <v>12</v>
      </c>
      <c r="P31" s="123">
        <v>33</v>
      </c>
      <c r="Q31" s="135" t="s">
        <v>8</v>
      </c>
      <c r="S31" s="148">
        <f>IF(RIGHT(Q31,1)="L",360-MID(Q31,1,FIND("L",Q31,1)-1),MID(Q31,1,FIND("C",Q31,1)-1))</f>
        <v>315</v>
      </c>
      <c r="T31" s="110">
        <f>IF((S31+$AB$2)&gt;359,(S31+$AB$2)-360,S31+$AB$2)</f>
        <v>208</v>
      </c>
      <c r="U31" s="142">
        <v>0</v>
      </c>
      <c r="V31" s="142">
        <f>P31*COS(RADIANS(T31))</f>
        <v>-29.137270564344586</v>
      </c>
      <c r="W31" s="146">
        <v>0</v>
      </c>
      <c r="X31" s="143">
        <f>P31*SIN(RADIANS(T31))</f>
        <v>-15.492561571934399</v>
      </c>
    </row>
    <row r="32">
      <c r="B32" s="103">
        <v>168</v>
      </c>
      <c r="C32" s="396"/>
      <c r="D32" s="288"/>
      <c r="E32" s="124" t="s">
        <v>154</v>
      </c>
      <c r="F32" s="350"/>
      <c r="G32" s="124">
        <v>131</v>
      </c>
      <c r="H32" s="124">
        <v>0</v>
      </c>
      <c r="I32" s="124" t="s">
        <v>37</v>
      </c>
      <c r="J32" s="124">
        <v>135</v>
      </c>
      <c r="K32" s="124"/>
      <c r="L32" s="124"/>
      <c r="M32" s="350" t="s">
        <v>37</v>
      </c>
      <c r="N32" s="350"/>
      <c r="O32" s="350"/>
      <c r="P32" s="350"/>
      <c r="Q32" s="353"/>
      <c r="S32" s="130" t="s">
        <v>18</v>
      </c>
      <c r="T32" s="106" t="s">
        <v>23</v>
      </c>
      <c r="U32" s="405" t="s">
        <v>24</v>
      </c>
      <c r="V32" s="404"/>
      <c r="W32" s="405" t="s">
        <v>25</v>
      </c>
      <c r="X32" s="406"/>
    </row>
    <row r="33">
      <c r="B33" s="103">
        <v>189</v>
      </c>
      <c r="C33" s="394" t="s">
        <v>155</v>
      </c>
      <c r="D33" s="286" t="s">
        <v>142</v>
      </c>
      <c r="E33" s="122" t="s">
        <v>156</v>
      </c>
      <c r="F33" s="265" t="s">
        <v>114</v>
      </c>
      <c r="G33" s="122">
        <v>136</v>
      </c>
      <c r="H33" s="122">
        <v>32</v>
      </c>
      <c r="I33" s="122" t="s">
        <v>122</v>
      </c>
      <c r="J33" s="122">
        <v>140</v>
      </c>
      <c r="K33" s="122">
        <v>32</v>
      </c>
      <c r="L33" s="122" t="s">
        <v>130</v>
      </c>
      <c r="M33" s="265" t="s">
        <v>79</v>
      </c>
      <c r="N33" s="122">
        <v>2</v>
      </c>
      <c r="O33" s="122">
        <v>4</v>
      </c>
      <c r="P33" s="122">
        <v>32</v>
      </c>
      <c r="Q33" s="134" t="s">
        <v>6</v>
      </c>
      <c r="S33" s="131">
        <f>IF(RIGHT(Q33,1)="L",360-MID(Q33,1,FIND("L",Q33,1)-1),MID(Q33,1,FIND("C",Q33,1)-1))</f>
        <v>197</v>
      </c>
      <c r="T33" s="108">
        <f>IF((S33+$AB$2)&gt;359,(S33+$AB$2)-360,S33+$AB$2)</f>
        <v>90</v>
      </c>
      <c r="U33" s="138">
        <v>0</v>
      </c>
      <c r="V33" s="138">
        <f>P33*COS(RADIANS(T33))</f>
        <v>1.960237527853792E-15</v>
      </c>
      <c r="W33" s="144">
        <v>0</v>
      </c>
      <c r="X33" s="139">
        <f>P33*SIN(RADIANS(T33))</f>
        <v>32</v>
      </c>
    </row>
    <row r="34">
      <c r="B34" s="103">
        <v>190</v>
      </c>
      <c r="C34" s="395"/>
      <c r="D34" s="287"/>
      <c r="E34" s="123" t="s">
        <v>157</v>
      </c>
      <c r="F34" s="266"/>
      <c r="G34" s="123">
        <v>137</v>
      </c>
      <c r="H34" s="123">
        <v>34</v>
      </c>
      <c r="I34" s="123" t="s">
        <v>116</v>
      </c>
      <c r="J34" s="123">
        <v>141</v>
      </c>
      <c r="K34" s="123">
        <v>34</v>
      </c>
      <c r="L34" s="123" t="s">
        <v>116</v>
      </c>
      <c r="M34" s="266"/>
      <c r="N34" s="123">
        <v>6</v>
      </c>
      <c r="O34" s="123">
        <v>8</v>
      </c>
      <c r="P34" s="123">
        <v>33</v>
      </c>
      <c r="Q34" s="135" t="s">
        <v>133</v>
      </c>
      <c r="S34" s="131" t="str">
        <f>IF(RIGHT(Q34,1)="L",360-MID(Q34,1,FIND("L",Q34,1)-1),MID(Q34,1,FIND("C",Q34,1)-1))</f>
        <v>78</v>
      </c>
      <c r="T34" s="108">
        <f>IF((S34+$AB$2)&gt;359,(S34+$AB$2)-360,S34+$AB$2)</f>
        <v>331</v>
      </c>
      <c r="U34" s="140">
        <v>0</v>
      </c>
      <c r="V34" s="140">
        <f>P34*COS(RADIANS(T34))</f>
        <v>28.862450335600062</v>
      </c>
      <c r="W34" s="145">
        <v>0</v>
      </c>
      <c r="X34" s="141">
        <f>P34*SIN(RADIANS(T34))</f>
        <v>-15.998717468129117</v>
      </c>
    </row>
    <row r="35">
      <c r="B35" s="103">
        <v>191</v>
      </c>
      <c r="C35" s="395"/>
      <c r="D35" s="287"/>
      <c r="E35" s="123" t="s">
        <v>158</v>
      </c>
      <c r="F35" s="266"/>
      <c r="G35" s="123">
        <v>138</v>
      </c>
      <c r="H35" s="123">
        <v>31</v>
      </c>
      <c r="I35" s="123" t="s">
        <v>126</v>
      </c>
      <c r="J35" s="123">
        <v>142</v>
      </c>
      <c r="K35" s="123">
        <v>31</v>
      </c>
      <c r="L35" s="123" t="s">
        <v>126</v>
      </c>
      <c r="M35" s="295"/>
      <c r="N35" s="123">
        <v>10</v>
      </c>
      <c r="O35" s="123">
        <v>12</v>
      </c>
      <c r="P35" s="123">
        <v>33</v>
      </c>
      <c r="Q35" s="135" t="s">
        <v>126</v>
      </c>
      <c r="S35" s="148">
        <f>IF(RIGHT(Q35,1)="L",360-MID(Q35,1,FIND("L",Q35,1)-1),MID(Q35,1,FIND("C",Q35,1)-1))</f>
        <v>319</v>
      </c>
      <c r="T35" s="110">
        <f>IF((S35+$AB$2)&gt;359,(S35+$AB$2)-360,S35+$AB$2)</f>
        <v>212</v>
      </c>
      <c r="U35" s="142">
        <v>0</v>
      </c>
      <c r="V35" s="142">
        <f>P35*COS(RADIANS(T35))</f>
        <v>-27.98558717316206</v>
      </c>
      <c r="W35" s="146">
        <v>0</v>
      </c>
      <c r="X35" s="143">
        <f>P35*SIN(RADIANS(T35))</f>
        <v>-17.487335719695757</v>
      </c>
    </row>
    <row r="36">
      <c r="B36" s="103">
        <v>192</v>
      </c>
      <c r="C36" s="396"/>
      <c r="D36" s="288"/>
      <c r="E36" s="124" t="s">
        <v>159</v>
      </c>
      <c r="F36" s="267"/>
      <c r="G36" s="124">
        <v>139</v>
      </c>
      <c r="H36" s="124">
        <v>0</v>
      </c>
      <c r="I36" s="124" t="s">
        <v>37</v>
      </c>
      <c r="J36" s="124">
        <v>143</v>
      </c>
      <c r="K36" s="124">
        <v>0</v>
      </c>
      <c r="L36" s="124" t="s">
        <v>37</v>
      </c>
      <c r="M36" s="274" t="s">
        <v>37</v>
      </c>
      <c r="N36" s="275"/>
      <c r="O36" s="275"/>
      <c r="P36" s="275"/>
      <c r="Q36" s="276"/>
    </row>
    <row r="37">
      <c r="B37" s="103">
        <v>231</v>
      </c>
      <c r="C37" s="394" t="s">
        <v>160</v>
      </c>
      <c r="D37" s="286" t="s">
        <v>142</v>
      </c>
      <c r="E37" s="122" t="s">
        <v>161</v>
      </c>
      <c r="F37" s="289" t="s">
        <v>114</v>
      </c>
      <c r="G37" s="122">
        <v>144</v>
      </c>
      <c r="H37" s="122">
        <v>0</v>
      </c>
      <c r="I37" s="122" t="s">
        <v>37</v>
      </c>
      <c r="J37" s="268" t="s">
        <v>37</v>
      </c>
      <c r="K37" s="269"/>
      <c r="L37" s="292"/>
      <c r="M37" s="265" t="s">
        <v>139</v>
      </c>
      <c r="N37" s="122">
        <v>2</v>
      </c>
      <c r="O37" s="122">
        <v>4</v>
      </c>
      <c r="P37" s="122">
        <v>0</v>
      </c>
      <c r="Q37" s="134" t="s">
        <v>37</v>
      </c>
    </row>
    <row r="38">
      <c r="B38" s="103">
        <v>232</v>
      </c>
      <c r="C38" s="396"/>
      <c r="D38" s="288"/>
      <c r="E38" s="124" t="s">
        <v>162</v>
      </c>
      <c r="F38" s="291"/>
      <c r="G38" s="124">
        <v>145</v>
      </c>
      <c r="H38" s="124">
        <v>0</v>
      </c>
      <c r="I38" s="124" t="s">
        <v>37</v>
      </c>
      <c r="J38" s="274"/>
      <c r="K38" s="275"/>
      <c r="L38" s="294"/>
      <c r="M38" s="267"/>
      <c r="N38" s="124">
        <v>2</v>
      </c>
      <c r="O38" s="124">
        <v>4</v>
      </c>
      <c r="P38" s="124">
        <v>0</v>
      </c>
      <c r="Q38" s="136" t="s">
        <v>37</v>
      </c>
      <c r="S38" s="130" t="s">
        <v>18</v>
      </c>
      <c r="T38" s="106" t="s">
        <v>23</v>
      </c>
      <c r="U38" s="405" t="s">
        <v>24</v>
      </c>
      <c r="V38" s="404"/>
      <c r="W38" s="405" t="s">
        <v>25</v>
      </c>
      <c r="X38" s="406"/>
    </row>
    <row r="39" ht="15" customHeight="1">
      <c r="B39" s="103">
        <v>53</v>
      </c>
      <c r="C39" s="323" t="s">
        <v>163</v>
      </c>
      <c r="D39" s="261" t="s">
        <v>164</v>
      </c>
      <c r="E39" s="106" t="s">
        <v>165</v>
      </c>
      <c r="F39" s="339" t="s">
        <v>24</v>
      </c>
      <c r="G39" s="119" t="s">
        <v>166</v>
      </c>
      <c r="H39" s="119"/>
      <c r="I39" s="119"/>
      <c r="J39" s="36" t="s">
        <v>167</v>
      </c>
      <c r="K39" s="119"/>
      <c r="L39" s="119"/>
      <c r="M39" s="339" t="s">
        <v>92</v>
      </c>
      <c r="N39" s="119">
        <v>2</v>
      </c>
      <c r="O39" s="119">
        <v>4</v>
      </c>
      <c r="P39" s="106">
        <v>32</v>
      </c>
      <c r="Q39" s="107" t="s">
        <v>6</v>
      </c>
      <c r="S39" s="131">
        <f>IF(RIGHT(Q39,1)="L",360-MID(Q39,1,FIND("L",Q39,1)-1),MID(Q39,1,FIND("C",Q39,1)-1))</f>
        <v>197</v>
      </c>
      <c r="T39" s="108">
        <f>IF((S39+$AB$2)&gt;359,(S39+$AB$2)-360,S39+$AB$2)</f>
        <v>90</v>
      </c>
      <c r="U39" s="138">
        <v>0</v>
      </c>
      <c r="V39" s="138">
        <f>P39*COS(RADIANS(T39))</f>
        <v>1.960237527853792E-15</v>
      </c>
      <c r="W39" s="144">
        <v>0</v>
      </c>
      <c r="X39" s="139">
        <f>P39*SIN(RADIANS(T39))</f>
        <v>32</v>
      </c>
    </row>
    <row r="40">
      <c r="B40" s="103">
        <v>54</v>
      </c>
      <c r="C40" s="324"/>
      <c r="D40" s="326"/>
      <c r="E40" s="108" t="s">
        <v>168</v>
      </c>
      <c r="F40" s="340"/>
      <c r="G40" s="120" t="s">
        <v>169</v>
      </c>
      <c r="H40" s="120"/>
      <c r="I40" s="120"/>
      <c r="J40" s="37" t="s">
        <v>170</v>
      </c>
      <c r="K40" s="120"/>
      <c r="L40" s="120"/>
      <c r="M40" s="340"/>
      <c r="N40" s="120">
        <v>6</v>
      </c>
      <c r="O40" s="120">
        <v>8</v>
      </c>
      <c r="P40" s="108">
        <v>33</v>
      </c>
      <c r="Q40" s="109" t="s">
        <v>116</v>
      </c>
      <c r="S40" s="131" t="str">
        <f>IF(RIGHT(Q40,1)="L",360-MID(Q40,1,FIND("L",Q40,1)-1),MID(Q40,1,FIND("C",Q40,1)-1))</f>
        <v>77</v>
      </c>
      <c r="T40" s="108">
        <f>IF((S40+$AB$2)&gt;359,(S40+$AB$2)-360,S40+$AB$2)</f>
        <v>330</v>
      </c>
      <c r="U40" s="140">
        <v>0</v>
      </c>
      <c r="V40" s="140">
        <f>P40*COS(RADIANS(T40))</f>
        <v>28.578838324886465</v>
      </c>
      <c r="W40" s="145">
        <v>0</v>
      </c>
      <c r="X40" s="141">
        <f>P40*SIN(RADIANS(T40))</f>
        <v>-16.500000000000014</v>
      </c>
    </row>
    <row r="41">
      <c r="B41" s="103">
        <v>55</v>
      </c>
      <c r="C41" s="324"/>
      <c r="D41" s="326"/>
      <c r="E41" s="120" t="s">
        <v>171</v>
      </c>
      <c r="F41" s="340"/>
      <c r="G41" s="120" t="s">
        <v>172</v>
      </c>
      <c r="H41" s="120"/>
      <c r="I41" s="120"/>
      <c r="J41" s="37" t="s">
        <v>173</v>
      </c>
      <c r="K41" s="120"/>
      <c r="L41" s="120"/>
      <c r="M41" s="340"/>
      <c r="N41" s="120">
        <v>10</v>
      </c>
      <c r="O41" s="120">
        <v>12</v>
      </c>
      <c r="P41" s="108">
        <v>33</v>
      </c>
      <c r="Q41" s="109" t="s">
        <v>8</v>
      </c>
      <c r="S41" s="148">
        <f>IF(RIGHT(Q41,1)="L",360-MID(Q41,1,FIND("L",Q41,1)-1),MID(Q41,1,FIND("C",Q41,1)-1))</f>
        <v>315</v>
      </c>
      <c r="T41" s="110">
        <f>IF((S41+$AB$2)&gt;359,(S41+$AB$2)-360,S41+$AB$2)</f>
        <v>208</v>
      </c>
      <c r="U41" s="142">
        <v>0</v>
      </c>
      <c r="V41" s="142">
        <f>P41*COS(RADIANS(T41))</f>
        <v>-29.137270564344586</v>
      </c>
      <c r="W41" s="146">
        <v>0</v>
      </c>
      <c r="X41" s="143">
        <f>P41*SIN(RADIANS(T41))</f>
        <v>-15.492561571934399</v>
      </c>
    </row>
    <row r="42">
      <c r="B42" s="103">
        <v>56</v>
      </c>
      <c r="C42" s="325"/>
      <c r="D42" s="262"/>
      <c r="E42" s="121" t="s">
        <v>119</v>
      </c>
      <c r="F42" s="342"/>
      <c r="G42" s="121" t="s">
        <v>174</v>
      </c>
      <c r="H42" s="121"/>
      <c r="I42" s="121"/>
      <c r="J42" s="132" t="s">
        <v>173</v>
      </c>
      <c r="K42" s="121"/>
      <c r="L42" s="121"/>
      <c r="M42" s="357" t="s">
        <v>37</v>
      </c>
      <c r="N42" s="357"/>
      <c r="O42" s="357"/>
      <c r="P42" s="357"/>
      <c r="Q42" s="358"/>
      <c r="S42" s="130" t="s">
        <v>18</v>
      </c>
      <c r="T42" s="106" t="s">
        <v>23</v>
      </c>
      <c r="U42" s="405" t="s">
        <v>24</v>
      </c>
      <c r="V42" s="404"/>
      <c r="W42" s="405" t="s">
        <v>25</v>
      </c>
      <c r="X42" s="406"/>
    </row>
    <row r="43" ht="15" customHeight="1">
      <c r="B43" s="103">
        <v>89</v>
      </c>
      <c r="C43" s="323" t="s">
        <v>175</v>
      </c>
      <c r="D43" s="261" t="s">
        <v>164</v>
      </c>
      <c r="E43" s="106" t="s">
        <v>176</v>
      </c>
      <c r="F43" s="303" t="s">
        <v>24</v>
      </c>
      <c r="G43" s="119" t="s">
        <v>177</v>
      </c>
      <c r="H43" s="119"/>
      <c r="I43" s="119"/>
      <c r="J43" s="36" t="s">
        <v>178</v>
      </c>
      <c r="K43" s="119"/>
      <c r="L43" s="119"/>
      <c r="M43" s="303" t="s">
        <v>79</v>
      </c>
      <c r="N43" s="119">
        <v>2</v>
      </c>
      <c r="O43" s="119">
        <v>4</v>
      </c>
      <c r="P43" s="106">
        <v>32</v>
      </c>
      <c r="Q43" s="107" t="s">
        <v>6</v>
      </c>
      <c r="S43" s="131">
        <f>IF(RIGHT(Q43,1)="L",360-MID(Q43,1,FIND("L",Q43,1)-1),MID(Q43,1,FIND("C",Q43,1)-1))</f>
        <v>197</v>
      </c>
      <c r="T43" s="108">
        <f>IF((S43+$AB$2)&gt;359,(S43+$AB$2)-360,S43+$AB$2)</f>
        <v>90</v>
      </c>
      <c r="U43" s="138">
        <v>0</v>
      </c>
      <c r="V43" s="138">
        <f>P43*COS(RADIANS(T43))</f>
        <v>1.960237527853792E-15</v>
      </c>
      <c r="W43" s="144">
        <v>0</v>
      </c>
      <c r="X43" s="139">
        <f>P43*SIN(RADIANS(T43))</f>
        <v>32</v>
      </c>
    </row>
    <row r="44">
      <c r="B44" s="103">
        <v>90</v>
      </c>
      <c r="C44" s="324"/>
      <c r="D44" s="326"/>
      <c r="E44" s="108" t="s">
        <v>179</v>
      </c>
      <c r="F44" s="317"/>
      <c r="G44" s="120" t="s">
        <v>180</v>
      </c>
      <c r="H44" s="120"/>
      <c r="I44" s="120"/>
      <c r="J44" s="37" t="s">
        <v>181</v>
      </c>
      <c r="K44" s="120"/>
      <c r="L44" s="120"/>
      <c r="M44" s="317"/>
      <c r="N44" s="120">
        <v>6</v>
      </c>
      <c r="O44" s="120">
        <v>8</v>
      </c>
      <c r="P44" s="108">
        <v>33</v>
      </c>
      <c r="Q44" s="109" t="s">
        <v>116</v>
      </c>
      <c r="S44" s="131" t="str">
        <f>IF(RIGHT(Q44,1)="L",360-MID(Q44,1,FIND("L",Q44,1)-1),MID(Q44,1,FIND("C",Q44,1)-1))</f>
        <v>77</v>
      </c>
      <c r="T44" s="108">
        <f>IF((S44+$AB$2)&gt;359,(S44+$AB$2)-360,S44+$AB$2)</f>
        <v>330</v>
      </c>
      <c r="U44" s="140">
        <v>0</v>
      </c>
      <c r="V44" s="140">
        <f>P44*COS(RADIANS(T44))</f>
        <v>28.578838324886465</v>
      </c>
      <c r="W44" s="145">
        <v>0</v>
      </c>
      <c r="X44" s="141">
        <f>P44*SIN(RADIANS(T44))</f>
        <v>-16.500000000000014</v>
      </c>
    </row>
    <row r="45">
      <c r="B45" s="103">
        <v>91</v>
      </c>
      <c r="C45" s="324"/>
      <c r="D45" s="326"/>
      <c r="E45" s="120" t="s">
        <v>182</v>
      </c>
      <c r="F45" s="317"/>
      <c r="G45" s="120" t="s">
        <v>183</v>
      </c>
      <c r="H45" s="120"/>
      <c r="I45" s="120"/>
      <c r="J45" s="37" t="s">
        <v>184</v>
      </c>
      <c r="K45" s="120"/>
      <c r="L45" s="120"/>
      <c r="M45" s="317"/>
      <c r="N45" s="120">
        <v>10</v>
      </c>
      <c r="O45" s="120">
        <v>12</v>
      </c>
      <c r="P45" s="108">
        <v>33</v>
      </c>
      <c r="Q45" s="109" t="s">
        <v>8</v>
      </c>
      <c r="S45" s="148">
        <f>IF(RIGHT(Q45,1)="L",360-MID(Q45,1,FIND("L",Q45,1)-1),MID(Q45,1,FIND("C",Q45,1)-1))</f>
        <v>315</v>
      </c>
      <c r="T45" s="110">
        <f>IF((S45+$AB$2)&gt;359,(S45+$AB$2)-360,S45+$AB$2)</f>
        <v>208</v>
      </c>
      <c r="U45" s="142">
        <v>0</v>
      </c>
      <c r="V45" s="142">
        <f>P45*COS(RADIANS(T45))</f>
        <v>-29.137270564344586</v>
      </c>
      <c r="W45" s="146">
        <v>0</v>
      </c>
      <c r="X45" s="143">
        <f>P45*SIN(RADIANS(T45))</f>
        <v>-15.492561571934399</v>
      </c>
    </row>
    <row r="46">
      <c r="B46" s="103">
        <v>92</v>
      </c>
      <c r="C46" s="325"/>
      <c r="D46" s="262"/>
      <c r="E46" s="121" t="s">
        <v>185</v>
      </c>
      <c r="F46" s="304"/>
      <c r="G46" s="121" t="s">
        <v>186</v>
      </c>
      <c r="H46" s="121"/>
      <c r="I46" s="121"/>
      <c r="J46" s="132" t="s">
        <v>186</v>
      </c>
      <c r="K46" s="121"/>
      <c r="L46" s="121"/>
      <c r="M46" s="304"/>
      <c r="N46" s="318" t="s">
        <v>37</v>
      </c>
      <c r="O46" s="319"/>
      <c r="P46" s="319"/>
      <c r="Q46" s="320"/>
      <c r="S46" s="130" t="s">
        <v>18</v>
      </c>
      <c r="T46" s="106" t="s">
        <v>23</v>
      </c>
      <c r="U46" s="405" t="s">
        <v>24</v>
      </c>
      <c r="V46" s="404"/>
      <c r="W46" s="405" t="s">
        <v>25</v>
      </c>
      <c r="X46" s="406"/>
    </row>
    <row r="47">
      <c r="B47" s="103">
        <v>5</v>
      </c>
      <c r="C47" s="397" t="s">
        <v>26</v>
      </c>
      <c r="D47" s="286" t="s">
        <v>164</v>
      </c>
      <c r="E47" s="122" t="s">
        <v>187</v>
      </c>
      <c r="F47" s="265" t="s">
        <v>114</v>
      </c>
      <c r="G47" s="122">
        <v>136</v>
      </c>
      <c r="H47" s="122">
        <v>3</v>
      </c>
      <c r="I47" s="122" t="s">
        <v>188</v>
      </c>
      <c r="J47" s="122">
        <v>140</v>
      </c>
      <c r="K47" s="122">
        <v>3</v>
      </c>
      <c r="L47" s="122" t="s">
        <v>109</v>
      </c>
      <c r="M47" s="265" t="s">
        <v>139</v>
      </c>
      <c r="N47" s="122">
        <v>2</v>
      </c>
      <c r="O47" s="122">
        <v>4</v>
      </c>
      <c r="P47" s="122">
        <v>3</v>
      </c>
      <c r="Q47" s="134" t="s">
        <v>6</v>
      </c>
      <c r="S47" s="131">
        <f>IF(RIGHT(Q47,1)="L",360-MID(Q47,1,FIND("L",Q47,1)-1),MID(Q47,1,FIND("C",Q47,1)-1))</f>
        <v>197</v>
      </c>
      <c r="T47" s="108">
        <f>IF((S47+$AB$2)&gt;359,(S47+$AB$2)-360,S47+$AB$2)</f>
        <v>90</v>
      </c>
      <c r="U47" s="138">
        <v>0</v>
      </c>
      <c r="V47" s="138">
        <f>P47*COS(RADIANS(T47))</f>
        <v>1.83772268236293E-16</v>
      </c>
      <c r="W47" s="144">
        <v>0</v>
      </c>
      <c r="X47" s="139">
        <f>P47*SIN(RADIANS(T47))</f>
        <v>3</v>
      </c>
    </row>
    <row r="48">
      <c r="B48" s="103">
        <v>6</v>
      </c>
      <c r="C48" s="398"/>
      <c r="D48" s="287"/>
      <c r="E48" s="123" t="s">
        <v>189</v>
      </c>
      <c r="F48" s="266"/>
      <c r="G48" s="123">
        <v>137</v>
      </c>
      <c r="H48" s="123">
        <v>3</v>
      </c>
      <c r="I48" s="123" t="s">
        <v>190</v>
      </c>
      <c r="J48" s="123">
        <v>141</v>
      </c>
      <c r="K48" s="123">
        <v>3</v>
      </c>
      <c r="L48" s="123" t="s">
        <v>111</v>
      </c>
      <c r="M48" s="266"/>
      <c r="N48" s="123">
        <v>6</v>
      </c>
      <c r="O48" s="123">
        <v>8</v>
      </c>
      <c r="P48" s="123">
        <v>3</v>
      </c>
      <c r="Q48" s="135" t="s">
        <v>7</v>
      </c>
      <c r="S48" s="131" t="str">
        <f>IF(RIGHT(Q48,1)="L",360-MID(Q48,1,FIND("L",Q48,1)-1),MID(Q48,1,FIND("C",Q48,1)-1))</f>
        <v>79</v>
      </c>
      <c r="T48" s="108">
        <f>IF((S48+$AB$2)&gt;359,(S48+$AB$2)-360,S48+$AB$2)</f>
        <v>332</v>
      </c>
      <c r="U48" s="140">
        <v>0</v>
      </c>
      <c r="V48" s="140">
        <f>P48*COS(RADIANS(T48))</f>
        <v>2.6488427785767805</v>
      </c>
      <c r="W48" s="145">
        <v>0</v>
      </c>
      <c r="X48" s="141">
        <f>P48*SIN(RADIANS(T48))</f>
        <v>-1.4084146883576725</v>
      </c>
    </row>
    <row r="49">
      <c r="B49" s="103">
        <v>7</v>
      </c>
      <c r="C49" s="398"/>
      <c r="D49" s="287"/>
      <c r="E49" s="123" t="s">
        <v>191</v>
      </c>
      <c r="F49" s="266"/>
      <c r="G49" s="123">
        <v>138</v>
      </c>
      <c r="H49" s="123">
        <v>3</v>
      </c>
      <c r="I49" s="123" t="s">
        <v>192</v>
      </c>
      <c r="J49" s="123">
        <v>142</v>
      </c>
      <c r="K49" s="123">
        <v>3</v>
      </c>
      <c r="L49" s="123" t="s">
        <v>118</v>
      </c>
      <c r="M49" s="295"/>
      <c r="N49" s="123">
        <v>10</v>
      </c>
      <c r="O49" s="123">
        <v>12</v>
      </c>
      <c r="P49" s="123">
        <v>3</v>
      </c>
      <c r="Q49" s="135" t="s">
        <v>147</v>
      </c>
      <c r="S49" s="148">
        <f>IF(RIGHT(Q49,1)="L",360-MID(Q49,1,FIND("L",Q49,1)-1),MID(Q49,1,FIND("C",Q49,1)-1))</f>
        <v>318</v>
      </c>
      <c r="T49" s="110">
        <f>IF((S49+$AB$2)&gt;359,(S49+$AB$2)-360,S49+$AB$2)</f>
        <v>211</v>
      </c>
      <c r="U49" s="142">
        <v>0</v>
      </c>
      <c r="V49" s="142">
        <f>P49*COS(RADIANS(T49))</f>
        <v>-2.571501902106337</v>
      </c>
      <c r="W49" s="146">
        <v>0</v>
      </c>
      <c r="X49" s="143">
        <f>P49*SIN(RADIANS(T49))</f>
        <v>-1.5451142247301624</v>
      </c>
    </row>
    <row r="50">
      <c r="B50" s="103">
        <v>8</v>
      </c>
      <c r="C50" s="398"/>
      <c r="D50" s="288"/>
      <c r="E50" s="124" t="s">
        <v>35</v>
      </c>
      <c r="F50" s="267"/>
      <c r="G50" s="124">
        <v>139</v>
      </c>
      <c r="H50" s="124">
        <v>0</v>
      </c>
      <c r="I50" s="124" t="s">
        <v>37</v>
      </c>
      <c r="J50" s="124">
        <v>143</v>
      </c>
      <c r="K50" s="124">
        <v>0</v>
      </c>
      <c r="L50" s="124" t="s">
        <v>37</v>
      </c>
      <c r="M50" s="274" t="s">
        <v>37</v>
      </c>
      <c r="N50" s="275"/>
      <c r="O50" s="275"/>
      <c r="P50" s="275"/>
      <c r="Q50" s="276"/>
      <c r="S50" s="130" t="s">
        <v>18</v>
      </c>
      <c r="T50" s="106" t="s">
        <v>23</v>
      </c>
      <c r="U50" s="405" t="s">
        <v>24</v>
      </c>
      <c r="V50" s="404"/>
      <c r="W50" s="405" t="s">
        <v>25</v>
      </c>
      <c r="X50" s="406"/>
    </row>
    <row r="51" ht="15" customHeight="1">
      <c r="B51" s="103">
        <v>265</v>
      </c>
      <c r="C51" s="382" t="s">
        <v>193</v>
      </c>
      <c r="D51" s="384" t="s">
        <v>164</v>
      </c>
      <c r="E51" s="72" t="s">
        <v>194</v>
      </c>
      <c r="F51" s="387" t="s">
        <v>114</v>
      </c>
      <c r="G51" s="72">
        <v>144</v>
      </c>
      <c r="H51" s="72">
        <v>3</v>
      </c>
      <c r="I51" s="72" t="s">
        <v>188</v>
      </c>
      <c r="J51" s="72">
        <v>148</v>
      </c>
      <c r="K51" s="72">
        <v>3</v>
      </c>
      <c r="L51" s="72" t="s">
        <v>109</v>
      </c>
      <c r="M51" s="387" t="s">
        <v>195</v>
      </c>
      <c r="N51" s="72">
        <v>2</v>
      </c>
      <c r="O51" s="72">
        <v>4</v>
      </c>
      <c r="P51" s="72">
        <v>3</v>
      </c>
      <c r="Q51" s="78" t="s">
        <v>6</v>
      </c>
      <c r="S51" s="131">
        <f>IF(RIGHT(Q51,1)="L",360-MID(Q51,1,FIND("L",Q51,1)-1),MID(Q51,1,FIND("C",Q51,1)-1))</f>
        <v>197</v>
      </c>
      <c r="T51" s="108">
        <f>IF((S51+$AB$2)&gt;359,(S51+$AB$2)-360,S51+$AB$2)</f>
        <v>90</v>
      </c>
      <c r="U51" s="138">
        <v>0</v>
      </c>
      <c r="V51" s="138">
        <f>P51*COS(RADIANS(T51))</f>
        <v>1.83772268236293E-16</v>
      </c>
      <c r="W51" s="144">
        <v>0</v>
      </c>
      <c r="X51" s="139">
        <f>P51*SIN(RADIANS(T51))</f>
        <v>3</v>
      </c>
    </row>
    <row r="52">
      <c r="B52" s="103">
        <v>266</v>
      </c>
      <c r="C52" s="383"/>
      <c r="D52" s="385"/>
      <c r="E52" s="41" t="s">
        <v>196</v>
      </c>
      <c r="F52" s="388"/>
      <c r="G52" s="41">
        <v>145</v>
      </c>
      <c r="H52" s="41">
        <v>3</v>
      </c>
      <c r="I52" s="41" t="s">
        <v>190</v>
      </c>
      <c r="J52" s="41">
        <v>149</v>
      </c>
      <c r="K52" s="41">
        <v>3</v>
      </c>
      <c r="L52" s="41" t="s">
        <v>111</v>
      </c>
      <c r="M52" s="388"/>
      <c r="N52" s="41">
        <v>6</v>
      </c>
      <c r="O52" s="41">
        <v>8</v>
      </c>
      <c r="P52" s="41">
        <v>3</v>
      </c>
      <c r="Q52" s="59" t="s">
        <v>7</v>
      </c>
      <c r="S52" s="131" t="str">
        <f>IF(RIGHT(Q52,1)="L",360-MID(Q52,1,FIND("L",Q52,1)-1),MID(Q52,1,FIND("C",Q52,1)-1))</f>
        <v>79</v>
      </c>
      <c r="T52" s="108">
        <f>IF((S52+$AB$2)&gt;359,(S52+$AB$2)-360,S52+$AB$2)</f>
        <v>332</v>
      </c>
      <c r="U52" s="140">
        <v>0</v>
      </c>
      <c r="V52" s="140">
        <f>P52*COS(RADIANS(T52))</f>
        <v>2.6488427785767805</v>
      </c>
      <c r="W52" s="145">
        <v>0</v>
      </c>
      <c r="X52" s="141">
        <f>P52*SIN(RADIANS(T52))</f>
        <v>-1.4084146883576725</v>
      </c>
    </row>
    <row r="53">
      <c r="B53" s="103">
        <v>267</v>
      </c>
      <c r="C53" s="383"/>
      <c r="D53" s="385"/>
      <c r="E53" s="41" t="s">
        <v>197</v>
      </c>
      <c r="F53" s="388"/>
      <c r="G53" s="41">
        <v>146</v>
      </c>
      <c r="H53" s="41">
        <v>3</v>
      </c>
      <c r="I53" s="41" t="s">
        <v>192</v>
      </c>
      <c r="J53" s="41">
        <v>150</v>
      </c>
      <c r="K53" s="41">
        <v>3</v>
      </c>
      <c r="L53" s="41" t="s">
        <v>118</v>
      </c>
      <c r="M53" s="390"/>
      <c r="N53" s="41">
        <v>10</v>
      </c>
      <c r="O53" s="41">
        <v>12</v>
      </c>
      <c r="P53" s="41">
        <v>3</v>
      </c>
      <c r="Q53" s="59" t="s">
        <v>147</v>
      </c>
      <c r="S53" s="148">
        <f>IF(RIGHT(Q53,1)="L",360-MID(Q53,1,FIND("L",Q53,1)-1),MID(Q53,1,FIND("C",Q53,1)-1))</f>
        <v>318</v>
      </c>
      <c r="T53" s="110">
        <f>IF((S53+$AB$2)&gt;359,(S53+$AB$2)-360,S53+$AB$2)</f>
        <v>211</v>
      </c>
      <c r="U53" s="142">
        <v>0</v>
      </c>
      <c r="V53" s="142">
        <f>P53*COS(RADIANS(T53))</f>
        <v>-2.571501902106337</v>
      </c>
      <c r="W53" s="146">
        <v>0</v>
      </c>
      <c r="X53" s="143">
        <f>P53*SIN(RADIANS(T53))</f>
        <v>-1.5451142247301624</v>
      </c>
    </row>
    <row r="54">
      <c r="B54" s="103">
        <v>268</v>
      </c>
      <c r="C54" s="407"/>
      <c r="D54" s="386"/>
      <c r="E54" s="172" t="s">
        <v>198</v>
      </c>
      <c r="F54" s="389"/>
      <c r="G54" s="172">
        <v>147</v>
      </c>
      <c r="H54" s="172">
        <v>0</v>
      </c>
      <c r="I54" s="172" t="s">
        <v>37</v>
      </c>
      <c r="J54" s="172">
        <v>176</v>
      </c>
      <c r="K54" s="172">
        <v>0</v>
      </c>
      <c r="L54" s="172" t="s">
        <v>37</v>
      </c>
      <c r="M54" s="391" t="s">
        <v>37</v>
      </c>
      <c r="N54" s="392"/>
      <c r="O54" s="392"/>
      <c r="P54" s="392"/>
      <c r="Q54" s="393"/>
    </row>
    <row r="55">
      <c r="B55" s="103">
        <v>223</v>
      </c>
      <c r="C55" s="394" t="s">
        <v>199</v>
      </c>
      <c r="D55" s="286" t="s">
        <v>164</v>
      </c>
      <c r="E55" s="122" t="s">
        <v>200</v>
      </c>
      <c r="F55" s="289" t="s">
        <v>114</v>
      </c>
      <c r="G55" s="122">
        <v>152</v>
      </c>
      <c r="H55" s="122">
        <v>0</v>
      </c>
      <c r="I55" s="122" t="s">
        <v>37</v>
      </c>
      <c r="J55" s="268" t="s">
        <v>37</v>
      </c>
      <c r="K55" s="269"/>
      <c r="L55" s="292"/>
      <c r="M55" s="265" t="s">
        <v>201</v>
      </c>
      <c r="N55" s="122">
        <v>2</v>
      </c>
      <c r="O55" s="122">
        <v>4</v>
      </c>
      <c r="P55" s="122">
        <v>0</v>
      </c>
      <c r="Q55" s="134" t="s">
        <v>37</v>
      </c>
    </row>
    <row r="56">
      <c r="B56" s="103">
        <v>224</v>
      </c>
      <c r="C56" s="396"/>
      <c r="D56" s="288"/>
      <c r="E56" s="124" t="s">
        <v>202</v>
      </c>
      <c r="F56" s="291"/>
      <c r="G56" s="124">
        <v>153</v>
      </c>
      <c r="H56" s="124">
        <v>0</v>
      </c>
      <c r="I56" s="124" t="s">
        <v>37</v>
      </c>
      <c r="J56" s="274"/>
      <c r="K56" s="275"/>
      <c r="L56" s="294"/>
      <c r="M56" s="267"/>
      <c r="N56" s="124">
        <v>2</v>
      </c>
      <c r="O56" s="124">
        <v>4</v>
      </c>
      <c r="P56" s="124">
        <v>0</v>
      </c>
      <c r="Q56" s="136" t="s">
        <v>37</v>
      </c>
    </row>
    <row r="57">
      <c r="B57" s="103">
        <v>211</v>
      </c>
      <c r="C57" s="394" t="s">
        <v>203</v>
      </c>
      <c r="D57" s="286" t="s">
        <v>164</v>
      </c>
      <c r="E57" s="122" t="s">
        <v>204</v>
      </c>
      <c r="F57" s="289" t="s">
        <v>114</v>
      </c>
      <c r="G57" s="122">
        <v>154</v>
      </c>
      <c r="H57" s="122">
        <v>0</v>
      </c>
      <c r="I57" s="122" t="s">
        <v>37</v>
      </c>
      <c r="J57" s="122">
        <v>155</v>
      </c>
      <c r="K57" s="122">
        <v>0</v>
      </c>
      <c r="L57" s="122" t="s">
        <v>37</v>
      </c>
      <c r="M57" s="265" t="s">
        <v>205</v>
      </c>
      <c r="N57" s="122">
        <v>2</v>
      </c>
      <c r="O57" s="122">
        <v>4</v>
      </c>
      <c r="P57" s="122">
        <v>0</v>
      </c>
      <c r="Q57" s="134" t="s">
        <v>37</v>
      </c>
    </row>
    <row r="58">
      <c r="B58" s="103">
        <v>212</v>
      </c>
      <c r="C58" s="396"/>
      <c r="D58" s="288"/>
      <c r="E58" s="124" t="s">
        <v>206</v>
      </c>
      <c r="F58" s="291"/>
      <c r="G58" s="124" t="s">
        <v>207</v>
      </c>
      <c r="H58" s="124">
        <v>0</v>
      </c>
      <c r="I58" s="124" t="s">
        <v>37</v>
      </c>
      <c r="J58" s="124" t="s">
        <v>207</v>
      </c>
      <c r="K58" s="124">
        <v>0</v>
      </c>
      <c r="L58" s="124" t="s">
        <v>37</v>
      </c>
      <c r="M58" s="267"/>
      <c r="N58" s="124">
        <v>2</v>
      </c>
      <c r="O58" s="124">
        <v>4</v>
      </c>
      <c r="P58" s="124">
        <v>0</v>
      </c>
      <c r="Q58" s="136" t="s">
        <v>37</v>
      </c>
      <c r="S58" s="130" t="s">
        <v>18</v>
      </c>
      <c r="T58" s="106" t="s">
        <v>23</v>
      </c>
      <c r="U58" s="405" t="s">
        <v>24</v>
      </c>
      <c r="V58" s="404"/>
      <c r="W58" s="405" t="s">
        <v>25</v>
      </c>
      <c r="X58" s="406"/>
    </row>
    <row r="59" ht="15" customHeight="1">
      <c r="B59" s="103">
        <v>113</v>
      </c>
      <c r="C59" s="394" t="s">
        <v>208</v>
      </c>
      <c r="D59" s="286" t="s">
        <v>164</v>
      </c>
      <c r="E59" s="122" t="s">
        <v>209</v>
      </c>
      <c r="F59" s="348" t="s">
        <v>114</v>
      </c>
      <c r="G59" s="122">
        <v>156</v>
      </c>
      <c r="H59" s="122">
        <v>14</v>
      </c>
      <c r="I59" s="122" t="s">
        <v>131</v>
      </c>
      <c r="J59" s="348" t="s">
        <v>37</v>
      </c>
      <c r="K59" s="348"/>
      <c r="L59" s="348"/>
      <c r="M59" s="348" t="s">
        <v>210</v>
      </c>
      <c r="N59" s="122">
        <v>2</v>
      </c>
      <c r="O59" s="122">
        <v>4</v>
      </c>
      <c r="P59" s="122">
        <v>14</v>
      </c>
      <c r="Q59" s="134" t="s">
        <v>131</v>
      </c>
      <c r="S59" s="131">
        <f>IF(RIGHT(Q59,1)="L",360-MID(Q59,1,FIND("L",Q59,1)-1),MID(Q59,1,FIND("C",Q59,1)-1))</f>
        <v>196</v>
      </c>
      <c r="T59" s="108">
        <f>IF((S59+$AB$2)&gt;359,(S59+$AB$2)-360,S59+$AB$2)</f>
        <v>89</v>
      </c>
      <c r="U59" s="138">
        <v>0</v>
      </c>
      <c r="V59" s="138">
        <f>P59*COS(RADIANS(T59))</f>
        <v>0.24433369012197037</v>
      </c>
      <c r="W59" s="144">
        <v>0</v>
      </c>
      <c r="X59" s="139">
        <f>P59*SIN(RADIANS(T59))</f>
        <v>13.997867732189478</v>
      </c>
    </row>
    <row r="60">
      <c r="B60" s="103">
        <v>114</v>
      </c>
      <c r="C60" s="395"/>
      <c r="D60" s="287"/>
      <c r="E60" s="123" t="s">
        <v>211</v>
      </c>
      <c r="F60" s="349"/>
      <c r="G60" s="123">
        <v>157</v>
      </c>
      <c r="H60" s="123">
        <v>14</v>
      </c>
      <c r="I60" s="123" t="s">
        <v>7</v>
      </c>
      <c r="J60" s="349"/>
      <c r="K60" s="349"/>
      <c r="L60" s="349"/>
      <c r="M60" s="349"/>
      <c r="N60" s="123">
        <v>6</v>
      </c>
      <c r="O60" s="123">
        <v>8</v>
      </c>
      <c r="P60" s="123">
        <v>14</v>
      </c>
      <c r="Q60" s="135" t="s">
        <v>7</v>
      </c>
      <c r="S60" s="131" t="str">
        <f>IF(RIGHT(Q60,1)="L",360-MID(Q60,1,FIND("L",Q60,1)-1),MID(Q60,1,FIND("C",Q60,1)-1))</f>
        <v>79</v>
      </c>
      <c r="T60" s="108">
        <f>IF((S60+$AB$2)&gt;359,(S60+$AB$2)-360,S60+$AB$2)</f>
        <v>332</v>
      </c>
      <c r="U60" s="140">
        <v>0</v>
      </c>
      <c r="V60" s="140">
        <f>P60*COS(RADIANS(T60))</f>
        <v>12.361266300024976</v>
      </c>
      <c r="W60" s="145">
        <v>0</v>
      </c>
      <c r="X60" s="141">
        <f>P60*SIN(RADIANS(T60))</f>
        <v>-6.572601879002471</v>
      </c>
    </row>
    <row r="61">
      <c r="B61" s="103">
        <v>115</v>
      </c>
      <c r="C61" s="395"/>
      <c r="D61" s="287"/>
      <c r="E61" s="123" t="s">
        <v>212</v>
      </c>
      <c r="F61" s="349"/>
      <c r="G61" s="123">
        <v>158</v>
      </c>
      <c r="H61" s="123">
        <v>14</v>
      </c>
      <c r="I61" s="123" t="s">
        <v>213</v>
      </c>
      <c r="J61" s="349"/>
      <c r="K61" s="349"/>
      <c r="L61" s="349"/>
      <c r="M61" s="349"/>
      <c r="N61" s="123">
        <v>10</v>
      </c>
      <c r="O61" s="123">
        <v>12</v>
      </c>
      <c r="P61" s="123">
        <v>14</v>
      </c>
      <c r="Q61" s="135" t="s">
        <v>213</v>
      </c>
      <c r="S61" s="148">
        <f>IF(RIGHT(Q61,1)="L",360-MID(Q61,1,FIND("L",Q61,1)-1),MID(Q61,1,FIND("C",Q61,1)-1))</f>
        <v>314</v>
      </c>
      <c r="T61" s="110">
        <f>IF((S61+$AB$2)&gt;359,(S61+$AB$2)-360,S61+$AB$2)</f>
        <v>207</v>
      </c>
      <c r="U61" s="142">
        <v>0</v>
      </c>
      <c r="V61" s="142">
        <f>P61*COS(RADIANS(T61))</f>
        <v>-12.47409133863715</v>
      </c>
      <c r="W61" s="146">
        <v>0</v>
      </c>
      <c r="X61" s="143">
        <f>P61*SIN(RADIANS(T61))</f>
        <v>-6.355866996353654</v>
      </c>
    </row>
    <row r="62">
      <c r="B62" s="103">
        <v>116</v>
      </c>
      <c r="C62" s="396"/>
      <c r="D62" s="288"/>
      <c r="E62" s="124" t="s">
        <v>214</v>
      </c>
      <c r="F62" s="350"/>
      <c r="G62" s="124">
        <v>159</v>
      </c>
      <c r="H62" s="124">
        <v>0</v>
      </c>
      <c r="I62" s="124" t="s">
        <v>37</v>
      </c>
      <c r="J62" s="350"/>
      <c r="K62" s="350"/>
      <c r="L62" s="350"/>
      <c r="M62" s="350" t="s">
        <v>37</v>
      </c>
      <c r="N62" s="350"/>
      <c r="O62" s="350"/>
      <c r="P62" s="350"/>
      <c r="Q62" s="353"/>
      <c r="S62" s="130" t="s">
        <v>18</v>
      </c>
      <c r="T62" s="106" t="s">
        <v>23</v>
      </c>
      <c r="U62" s="405" t="s">
        <v>24</v>
      </c>
      <c r="V62" s="404"/>
      <c r="W62" s="405" t="s">
        <v>25</v>
      </c>
      <c r="X62" s="406"/>
    </row>
    <row r="63" ht="15" customHeight="1">
      <c r="B63" s="103">
        <v>181</v>
      </c>
      <c r="C63" s="323" t="s">
        <v>120</v>
      </c>
      <c r="D63" s="261" t="s">
        <v>164</v>
      </c>
      <c r="E63" s="106" t="s">
        <v>215</v>
      </c>
      <c r="F63" s="339" t="s">
        <v>114</v>
      </c>
      <c r="G63" s="119">
        <v>164</v>
      </c>
      <c r="H63" s="106">
        <v>32</v>
      </c>
      <c r="I63" s="106" t="s">
        <v>6</v>
      </c>
      <c r="J63" s="339" t="s">
        <v>37</v>
      </c>
      <c r="K63" s="339"/>
      <c r="L63" s="339"/>
      <c r="M63" s="339" t="s">
        <v>216</v>
      </c>
      <c r="N63" s="119">
        <v>2</v>
      </c>
      <c r="O63" s="119">
        <v>4</v>
      </c>
      <c r="P63" s="106">
        <v>32</v>
      </c>
      <c r="Q63" s="107" t="s">
        <v>6</v>
      </c>
      <c r="S63" s="131">
        <f>IF(RIGHT(Q63,1)="L",360-MID(Q63,1,FIND("L",Q63,1)-1),MID(Q63,1,FIND("C",Q63,1)-1))</f>
        <v>197</v>
      </c>
      <c r="T63" s="108">
        <f>IF((S63+$AB$2)&gt;359,(S63+$AB$2)-360,S63+$AB$2)</f>
        <v>90</v>
      </c>
      <c r="U63" s="138">
        <v>0</v>
      </c>
      <c r="V63" s="138">
        <f>P63*COS(RADIANS(T63))</f>
        <v>1.960237527853792E-15</v>
      </c>
      <c r="W63" s="144">
        <v>0</v>
      </c>
      <c r="X63" s="139">
        <f>P63*SIN(RADIANS(T63))</f>
        <v>32</v>
      </c>
    </row>
    <row r="64">
      <c r="B64" s="103">
        <v>182</v>
      </c>
      <c r="C64" s="324"/>
      <c r="D64" s="326"/>
      <c r="E64" s="108" t="s">
        <v>217</v>
      </c>
      <c r="F64" s="340"/>
      <c r="G64" s="120">
        <v>165</v>
      </c>
      <c r="H64" s="108">
        <v>33</v>
      </c>
      <c r="I64" s="108" t="s">
        <v>116</v>
      </c>
      <c r="J64" s="340"/>
      <c r="K64" s="340"/>
      <c r="L64" s="340"/>
      <c r="M64" s="340"/>
      <c r="N64" s="120">
        <v>6</v>
      </c>
      <c r="O64" s="120">
        <v>8</v>
      </c>
      <c r="P64" s="108">
        <v>33</v>
      </c>
      <c r="Q64" s="109" t="s">
        <v>116</v>
      </c>
      <c r="S64" s="131" t="str">
        <f>IF(RIGHT(Q64,1)="L",360-MID(Q64,1,FIND("L",Q64,1)-1),MID(Q64,1,FIND("C",Q64,1)-1))</f>
        <v>77</v>
      </c>
      <c r="T64" s="108">
        <f>IF((S64+$AB$2)&gt;359,(S64+$AB$2)-360,S64+$AB$2)</f>
        <v>330</v>
      </c>
      <c r="U64" s="140">
        <v>0</v>
      </c>
      <c r="V64" s="140">
        <f>P64*COS(RADIANS(T64))</f>
        <v>28.578838324886465</v>
      </c>
      <c r="W64" s="145">
        <v>0</v>
      </c>
      <c r="X64" s="141">
        <f>P64*SIN(RADIANS(T64))</f>
        <v>-16.500000000000014</v>
      </c>
    </row>
    <row r="65">
      <c r="B65" s="103">
        <v>183</v>
      </c>
      <c r="C65" s="324"/>
      <c r="D65" s="326"/>
      <c r="E65" s="120" t="s">
        <v>218</v>
      </c>
      <c r="F65" s="340"/>
      <c r="G65" s="120">
        <v>166</v>
      </c>
      <c r="H65" s="108">
        <v>32</v>
      </c>
      <c r="I65" s="108" t="s">
        <v>8</v>
      </c>
      <c r="J65" s="340"/>
      <c r="K65" s="340"/>
      <c r="L65" s="340"/>
      <c r="M65" s="340"/>
      <c r="N65" s="120">
        <v>10</v>
      </c>
      <c r="O65" s="120">
        <v>12</v>
      </c>
      <c r="P65" s="108">
        <v>33</v>
      </c>
      <c r="Q65" s="109" t="s">
        <v>8</v>
      </c>
      <c r="S65" s="148">
        <f>IF(RIGHT(Q65,1)="L",360-MID(Q65,1,FIND("L",Q65,1)-1),MID(Q65,1,FIND("C",Q65,1)-1))</f>
        <v>315</v>
      </c>
      <c r="T65" s="110">
        <f>IF((S65+$AB$2)&gt;359,(S65+$AB$2)-360,S65+$AB$2)</f>
        <v>208</v>
      </c>
      <c r="U65" s="142">
        <v>0</v>
      </c>
      <c r="V65" s="142">
        <f>P65*COS(RADIANS(T65))</f>
        <v>-29.137270564344586</v>
      </c>
      <c r="W65" s="146">
        <v>0</v>
      </c>
      <c r="X65" s="143">
        <f>P65*SIN(RADIANS(T65))</f>
        <v>-15.492561571934399</v>
      </c>
    </row>
    <row r="66">
      <c r="B66" s="103">
        <v>184</v>
      </c>
      <c r="C66" s="325"/>
      <c r="D66" s="262"/>
      <c r="E66" s="121" t="s">
        <v>219</v>
      </c>
      <c r="F66" s="342"/>
      <c r="G66" s="121">
        <v>167</v>
      </c>
      <c r="H66" s="121">
        <v>0</v>
      </c>
      <c r="I66" s="110" t="s">
        <v>37</v>
      </c>
      <c r="J66" s="342"/>
      <c r="K66" s="342"/>
      <c r="L66" s="342"/>
      <c r="M66" s="342" t="s">
        <v>37</v>
      </c>
      <c r="N66" s="342"/>
      <c r="O66" s="342"/>
      <c r="P66" s="342"/>
      <c r="Q66" s="347"/>
      <c r="S66" s="130" t="s">
        <v>18</v>
      </c>
      <c r="T66" s="106" t="s">
        <v>23</v>
      </c>
      <c r="U66" s="405" t="s">
        <v>24</v>
      </c>
      <c r="V66" s="404"/>
      <c r="W66" s="405" t="s">
        <v>25</v>
      </c>
      <c r="X66" s="406"/>
    </row>
    <row r="67">
      <c r="B67" s="103">
        <v>205</v>
      </c>
      <c r="C67" s="323" t="s">
        <v>128</v>
      </c>
      <c r="D67" s="261" t="s">
        <v>164</v>
      </c>
      <c r="E67" s="106" t="s">
        <v>220</v>
      </c>
      <c r="F67" s="303" t="s">
        <v>114</v>
      </c>
      <c r="G67" s="119">
        <v>172</v>
      </c>
      <c r="H67" s="106">
        <v>32</v>
      </c>
      <c r="I67" s="106" t="s">
        <v>131</v>
      </c>
      <c r="J67" s="305" t="s">
        <v>37</v>
      </c>
      <c r="K67" s="306"/>
      <c r="L67" s="314"/>
      <c r="M67" s="303" t="s">
        <v>221</v>
      </c>
      <c r="N67" s="119">
        <v>2</v>
      </c>
      <c r="O67" s="119">
        <v>4</v>
      </c>
      <c r="P67" s="106">
        <v>32</v>
      </c>
      <c r="Q67" s="107" t="s">
        <v>6</v>
      </c>
      <c r="S67" s="131">
        <f>IF(RIGHT(Q67,1)="L",360-MID(Q67,1,FIND("L",Q67,1)-1),MID(Q67,1,FIND("C",Q67,1)-1))</f>
        <v>197</v>
      </c>
      <c r="T67" s="108">
        <f>IF((S67+$AB$2)&gt;359,(S67+$AB$2)-360,S67+$AB$2)</f>
        <v>90</v>
      </c>
      <c r="U67" s="138">
        <v>0</v>
      </c>
      <c r="V67" s="138">
        <f>P67*COS(RADIANS(T67))</f>
        <v>1.960237527853792E-15</v>
      </c>
      <c r="W67" s="144">
        <v>0</v>
      </c>
      <c r="X67" s="139">
        <f>P67*SIN(RADIANS(T67))</f>
        <v>32</v>
      </c>
    </row>
    <row r="68">
      <c r="B68" s="103">
        <v>206</v>
      </c>
      <c r="C68" s="324"/>
      <c r="D68" s="326"/>
      <c r="E68" s="108" t="s">
        <v>222</v>
      </c>
      <c r="F68" s="317"/>
      <c r="G68" s="120">
        <v>173</v>
      </c>
      <c r="H68" s="108">
        <v>33</v>
      </c>
      <c r="I68" s="108" t="s">
        <v>116</v>
      </c>
      <c r="J68" s="308"/>
      <c r="K68" s="309"/>
      <c r="L68" s="315"/>
      <c r="M68" s="317"/>
      <c r="N68" s="120">
        <v>6</v>
      </c>
      <c r="O68" s="120">
        <v>8</v>
      </c>
      <c r="P68" s="108">
        <v>33</v>
      </c>
      <c r="Q68" s="109" t="s">
        <v>116</v>
      </c>
      <c r="S68" s="131" t="str">
        <f>IF(RIGHT(Q68,1)="L",360-MID(Q68,1,FIND("L",Q68,1)-1),MID(Q68,1,FIND("C",Q68,1)-1))</f>
        <v>77</v>
      </c>
      <c r="T68" s="108">
        <f>IF((S68+$AB$2)&gt;359,(S68+$AB$2)-360,S68+$AB$2)</f>
        <v>330</v>
      </c>
      <c r="U68" s="140">
        <v>0</v>
      </c>
      <c r="V68" s="140">
        <f>P68*COS(RADIANS(T68))</f>
        <v>28.578838324886465</v>
      </c>
      <c r="W68" s="145">
        <v>0</v>
      </c>
      <c r="X68" s="141">
        <f>P68*SIN(RADIANS(T68))</f>
        <v>-16.500000000000014</v>
      </c>
    </row>
    <row r="69">
      <c r="B69" s="103">
        <v>207</v>
      </c>
      <c r="C69" s="324"/>
      <c r="D69" s="326"/>
      <c r="E69" s="120" t="s">
        <v>223</v>
      </c>
      <c r="F69" s="317"/>
      <c r="G69" s="120">
        <v>174</v>
      </c>
      <c r="H69" s="108">
        <v>33</v>
      </c>
      <c r="I69" s="108" t="s">
        <v>8</v>
      </c>
      <c r="J69" s="308"/>
      <c r="K69" s="309"/>
      <c r="L69" s="315"/>
      <c r="M69" s="317"/>
      <c r="N69" s="120">
        <v>10</v>
      </c>
      <c r="O69" s="120">
        <v>12</v>
      </c>
      <c r="P69" s="108">
        <v>33</v>
      </c>
      <c r="Q69" s="109" t="s">
        <v>8</v>
      </c>
      <c r="S69" s="148">
        <f>IF(RIGHT(Q69,1)="L",360-MID(Q69,1,FIND("L",Q69,1)-1),MID(Q69,1,FIND("C",Q69,1)-1))</f>
        <v>315</v>
      </c>
      <c r="T69" s="110">
        <f>IF((S69+$AB$2)&gt;359,(S69+$AB$2)-360,S69+$AB$2)</f>
        <v>208</v>
      </c>
      <c r="U69" s="142">
        <v>0</v>
      </c>
      <c r="V69" s="142">
        <f>P69*COS(RADIANS(T69))</f>
        <v>-29.137270564344586</v>
      </c>
      <c r="W69" s="146">
        <v>0</v>
      </c>
      <c r="X69" s="143">
        <f>P69*SIN(RADIANS(T69))</f>
        <v>-15.492561571934399</v>
      </c>
    </row>
    <row r="70">
      <c r="B70" s="167">
        <v>208</v>
      </c>
      <c r="C70" s="324"/>
      <c r="D70" s="343"/>
      <c r="E70" s="28" t="s">
        <v>224</v>
      </c>
      <c r="F70" s="317"/>
      <c r="G70" s="28">
        <v>175</v>
      </c>
      <c r="H70" s="28">
        <v>0</v>
      </c>
      <c r="I70" s="125" t="s">
        <v>37</v>
      </c>
      <c r="J70" s="308"/>
      <c r="K70" s="309"/>
      <c r="L70" s="315"/>
      <c r="M70" s="317"/>
      <c r="N70" s="408" t="s">
        <v>37</v>
      </c>
      <c r="O70" s="409"/>
      <c r="P70" s="409"/>
      <c r="Q70" s="410"/>
      <c r="S70" s="130" t="s">
        <v>18</v>
      </c>
      <c r="T70" s="106" t="s">
        <v>23</v>
      </c>
      <c r="U70" s="405" t="s">
        <v>24</v>
      </c>
      <c r="V70" s="404"/>
      <c r="W70" s="405" t="s">
        <v>25</v>
      </c>
      <c r="X70" s="406"/>
    </row>
    <row r="71" ht="15" customHeight="1">
      <c r="B71" s="102">
        <v>237</v>
      </c>
      <c r="C71" s="323" t="s">
        <v>225</v>
      </c>
      <c r="D71" s="261" t="s">
        <v>226</v>
      </c>
      <c r="E71" s="106" t="s">
        <v>28</v>
      </c>
      <c r="F71" s="303" t="s">
        <v>24</v>
      </c>
      <c r="G71" s="106" t="s">
        <v>166</v>
      </c>
      <c r="H71" s="106"/>
      <c r="I71" s="106"/>
      <c r="J71" s="22" t="s">
        <v>167</v>
      </c>
      <c r="K71" s="106"/>
      <c r="L71" s="106"/>
      <c r="M71" s="303" t="s">
        <v>92</v>
      </c>
      <c r="N71" s="36">
        <v>2</v>
      </c>
      <c r="O71" s="106">
        <v>4</v>
      </c>
      <c r="P71" s="106">
        <v>32</v>
      </c>
      <c r="Q71" s="107" t="s">
        <v>6</v>
      </c>
      <c r="S71" s="131">
        <f>IF(RIGHT(Q71,1)="L",360-MID(Q71,1,FIND("L",Q71,1)-1),MID(Q71,1,FIND("C",Q71,1)-1))</f>
        <v>197</v>
      </c>
      <c r="T71" s="108">
        <f>IF((S71+$AB$2)&gt;359,(S71+$AB$2)-360,S71+$AB$2)</f>
        <v>90</v>
      </c>
      <c r="U71" s="138">
        <v>0</v>
      </c>
      <c r="V71" s="138">
        <f>P71*COS(RADIANS(T71))</f>
        <v>1.960237527853792E-15</v>
      </c>
      <c r="W71" s="144">
        <v>0</v>
      </c>
      <c r="X71" s="139">
        <f>P71*SIN(RADIANS(T71))</f>
        <v>32</v>
      </c>
    </row>
    <row r="72">
      <c r="B72" s="103">
        <v>238</v>
      </c>
      <c r="C72" s="324"/>
      <c r="D72" s="326"/>
      <c r="E72" s="108" t="s">
        <v>31</v>
      </c>
      <c r="F72" s="317"/>
      <c r="G72" s="108" t="s">
        <v>169</v>
      </c>
      <c r="H72" s="108"/>
      <c r="I72" s="108"/>
      <c r="J72" s="18" t="s">
        <v>170</v>
      </c>
      <c r="K72" s="108"/>
      <c r="L72" s="108"/>
      <c r="M72" s="317"/>
      <c r="N72" s="37">
        <v>6</v>
      </c>
      <c r="O72" s="108">
        <v>8</v>
      </c>
      <c r="P72" s="108">
        <v>33</v>
      </c>
      <c r="Q72" s="109" t="s">
        <v>116</v>
      </c>
      <c r="S72" s="131" t="str">
        <f>IF(RIGHT(Q72,1)="L",360-MID(Q72,1,FIND("L",Q72,1)-1),MID(Q72,1,FIND("C",Q72,1)-1))</f>
        <v>77</v>
      </c>
      <c r="T72" s="108">
        <f>IF((S72+$AB$2)&gt;359,(S72+$AB$2)-360,S72+$AB$2)</f>
        <v>330</v>
      </c>
      <c r="U72" s="140">
        <v>0</v>
      </c>
      <c r="V72" s="140">
        <f>P72*COS(RADIANS(T72))</f>
        <v>28.578838324886465</v>
      </c>
      <c r="W72" s="145">
        <v>0</v>
      </c>
      <c r="X72" s="141">
        <f>P72*SIN(RADIANS(T72))</f>
        <v>-16.500000000000014</v>
      </c>
    </row>
    <row r="73">
      <c r="B73" s="103">
        <v>239</v>
      </c>
      <c r="C73" s="324"/>
      <c r="D73" s="326"/>
      <c r="E73" s="120" t="s">
        <v>33</v>
      </c>
      <c r="F73" s="317"/>
      <c r="G73" s="108" t="s">
        <v>172</v>
      </c>
      <c r="H73" s="108"/>
      <c r="I73" s="108"/>
      <c r="J73" s="18" t="s">
        <v>173</v>
      </c>
      <c r="K73" s="108"/>
      <c r="L73" s="108"/>
      <c r="M73" s="317"/>
      <c r="N73" s="37">
        <v>10</v>
      </c>
      <c r="O73" s="108">
        <v>12</v>
      </c>
      <c r="P73" s="108">
        <v>33</v>
      </c>
      <c r="Q73" s="109" t="s">
        <v>8</v>
      </c>
      <c r="S73" s="148">
        <f>IF(RIGHT(Q73,1)="L",360-MID(Q73,1,FIND("L",Q73,1)-1),MID(Q73,1,FIND("C",Q73,1)-1))</f>
        <v>315</v>
      </c>
      <c r="T73" s="110">
        <f>IF((S73+$AB$2)&gt;359,(S73+$AB$2)-360,S73+$AB$2)</f>
        <v>208</v>
      </c>
      <c r="U73" s="142">
        <v>0</v>
      </c>
      <c r="V73" s="142">
        <f>P73*COS(RADIANS(T73))</f>
        <v>-29.137270564344586</v>
      </c>
      <c r="W73" s="146">
        <v>0</v>
      </c>
      <c r="X73" s="143">
        <f>P73*SIN(RADIANS(T73))</f>
        <v>-15.492561571934399</v>
      </c>
    </row>
    <row r="74">
      <c r="B74" s="104">
        <v>240</v>
      </c>
      <c r="C74" s="325"/>
      <c r="D74" s="262"/>
      <c r="E74" s="121" t="s">
        <v>35</v>
      </c>
      <c r="F74" s="304"/>
      <c r="G74" s="121" t="s">
        <v>174</v>
      </c>
      <c r="H74" s="121"/>
      <c r="I74" s="121"/>
      <c r="J74" s="132" t="s">
        <v>174</v>
      </c>
      <c r="K74" s="121"/>
      <c r="L74" s="121"/>
      <c r="M74" s="304"/>
      <c r="N74" s="277" t="s">
        <v>37</v>
      </c>
      <c r="O74" s="278"/>
      <c r="P74" s="327"/>
      <c r="Q74" s="35"/>
      <c r="S74" s="130" t="s">
        <v>18</v>
      </c>
      <c r="T74" s="106" t="s">
        <v>23</v>
      </c>
      <c r="U74" s="405" t="s">
        <v>24</v>
      </c>
      <c r="V74" s="404"/>
      <c r="W74" s="405" t="s">
        <v>25</v>
      </c>
      <c r="X74" s="406"/>
    </row>
    <row r="75">
      <c r="B75" s="102">
        <v>253</v>
      </c>
      <c r="C75" s="394" t="s">
        <v>227</v>
      </c>
      <c r="D75" s="286" t="s">
        <v>226</v>
      </c>
      <c r="E75" s="122" t="s">
        <v>228</v>
      </c>
      <c r="F75" s="265" t="s">
        <v>24</v>
      </c>
      <c r="G75" s="122" t="s">
        <v>177</v>
      </c>
      <c r="H75" s="122"/>
      <c r="I75" s="122"/>
      <c r="J75" s="95" t="s">
        <v>178</v>
      </c>
      <c r="K75" s="122"/>
      <c r="L75" s="122"/>
      <c r="M75" s="265" t="s">
        <v>79</v>
      </c>
      <c r="N75" s="95">
        <v>2</v>
      </c>
      <c r="O75" s="122">
        <v>4</v>
      </c>
      <c r="P75" s="122">
        <v>31</v>
      </c>
      <c r="Q75" s="134" t="s">
        <v>131</v>
      </c>
      <c r="S75" s="131">
        <f>IF(RIGHT(Q75,1)="L",360-MID(Q75,1,FIND("L",Q75,1)-1),MID(Q75,1,FIND("C",Q75,1)-1))</f>
        <v>196</v>
      </c>
      <c r="T75" s="108">
        <f>IF((S75+$AB$2)&gt;359,(S75+$AB$2)-360,S75+$AB$2)</f>
        <v>89</v>
      </c>
      <c r="U75" s="138">
        <v>0</v>
      </c>
      <c r="V75" s="138">
        <f>P75*COS(RADIANS(T75))</f>
        <v>0.5410245995557915</v>
      </c>
      <c r="W75" s="144">
        <v>0</v>
      </c>
      <c r="X75" s="139">
        <f>P75*SIN(RADIANS(T75))</f>
        <v>30.99527854984813</v>
      </c>
    </row>
    <row r="76">
      <c r="B76" s="103">
        <v>254</v>
      </c>
      <c r="C76" s="395"/>
      <c r="D76" s="287"/>
      <c r="E76" s="123" t="s">
        <v>229</v>
      </c>
      <c r="F76" s="266"/>
      <c r="G76" s="123" t="s">
        <v>180</v>
      </c>
      <c r="H76" s="123"/>
      <c r="I76" s="123"/>
      <c r="J76" s="96" t="s">
        <v>181</v>
      </c>
      <c r="K76" s="123"/>
      <c r="L76" s="123"/>
      <c r="M76" s="266"/>
      <c r="N76" s="96">
        <v>6</v>
      </c>
      <c r="O76" s="123">
        <v>8</v>
      </c>
      <c r="P76" s="123">
        <v>29</v>
      </c>
      <c r="Q76" s="135" t="s">
        <v>133</v>
      </c>
      <c r="S76" s="131" t="str">
        <f>IF(RIGHT(Q76,1)="L",360-MID(Q76,1,FIND("L",Q76,1)-1),MID(Q76,1,FIND("C",Q76,1)-1))</f>
        <v>78</v>
      </c>
      <c r="T76" s="108">
        <f>IF((S76+$AB$2)&gt;359,(S76+$AB$2)-360,S76+$AB$2)</f>
        <v>331</v>
      </c>
      <c r="U76" s="140">
        <v>0</v>
      </c>
      <c r="V76" s="140">
        <f>P76*COS(RADIANS(T76))</f>
        <v>25.36397150704248</v>
      </c>
      <c r="W76" s="145">
        <v>0</v>
      </c>
      <c r="X76" s="141">
        <f>P76*SIN(RADIANS(T76))</f>
        <v>-14.05947898714377</v>
      </c>
    </row>
    <row r="77">
      <c r="B77" s="103">
        <v>255</v>
      </c>
      <c r="C77" s="395"/>
      <c r="D77" s="287"/>
      <c r="E77" s="123" t="s">
        <v>230</v>
      </c>
      <c r="F77" s="266"/>
      <c r="G77" s="123" t="s">
        <v>183</v>
      </c>
      <c r="H77" s="123"/>
      <c r="I77" s="123"/>
      <c r="J77" s="96" t="s">
        <v>184</v>
      </c>
      <c r="K77" s="123"/>
      <c r="L77" s="123"/>
      <c r="M77" s="295"/>
      <c r="N77" s="96">
        <v>10</v>
      </c>
      <c r="O77" s="123">
        <v>12</v>
      </c>
      <c r="P77" s="123">
        <v>30</v>
      </c>
      <c r="Q77" s="135" t="s">
        <v>135</v>
      </c>
      <c r="S77" s="148">
        <f>IF(RIGHT(Q77,1)="L",360-MID(Q77,1,FIND("L",Q77,1)-1),MID(Q77,1,FIND("C",Q77,1)-1))</f>
        <v>316</v>
      </c>
      <c r="T77" s="110">
        <f>IF((S77+$AB$2)&gt;359,(S77+$AB$2)-360,S77+$AB$2)</f>
        <v>209</v>
      </c>
      <c r="U77" s="142">
        <v>0</v>
      </c>
      <c r="V77" s="142">
        <f>P77*COS(RADIANS(T77))</f>
        <v>-26.238591214181877</v>
      </c>
      <c r="W77" s="146">
        <v>0</v>
      </c>
      <c r="X77" s="143">
        <f>P77*SIN(RADIANS(T77))</f>
        <v>-14.544288607390108</v>
      </c>
    </row>
    <row r="78">
      <c r="B78" s="104">
        <v>256</v>
      </c>
      <c r="C78" s="396"/>
      <c r="D78" s="288"/>
      <c r="E78" s="124" t="s">
        <v>214</v>
      </c>
      <c r="F78" s="267"/>
      <c r="G78" s="124" t="s">
        <v>186</v>
      </c>
      <c r="H78" s="124"/>
      <c r="I78" s="124"/>
      <c r="J78" s="100" t="s">
        <v>186</v>
      </c>
      <c r="K78" s="124"/>
      <c r="L78" s="124"/>
      <c r="M78" s="282" t="s">
        <v>37</v>
      </c>
      <c r="N78" s="296"/>
      <c r="O78" s="296"/>
      <c r="P78" s="296"/>
      <c r="Q78" s="297"/>
      <c r="R78" s="112"/>
      <c r="S78" s="130" t="s">
        <v>18</v>
      </c>
      <c r="T78" s="106" t="s">
        <v>23</v>
      </c>
      <c r="U78" s="405" t="s">
        <v>24</v>
      </c>
      <c r="V78" s="404"/>
      <c r="W78" s="405" t="s">
        <v>25</v>
      </c>
      <c r="X78" s="406"/>
    </row>
    <row r="79" ht="15" customHeight="1">
      <c r="B79" s="102">
        <v>21</v>
      </c>
      <c r="C79" s="323" t="s">
        <v>58</v>
      </c>
      <c r="D79" s="261" t="s">
        <v>226</v>
      </c>
      <c r="E79" s="106" t="s">
        <v>231</v>
      </c>
      <c r="F79" s="303" t="s">
        <v>114</v>
      </c>
      <c r="G79" s="106">
        <v>136</v>
      </c>
      <c r="H79" s="106">
        <f>7/7</f>
        <v>1</v>
      </c>
      <c r="I79" s="106" t="s">
        <v>109</v>
      </c>
      <c r="J79" s="106">
        <v>140</v>
      </c>
      <c r="K79" s="106">
        <v>1</v>
      </c>
      <c r="L79" s="106" t="s">
        <v>6</v>
      </c>
      <c r="M79" s="303" t="s">
        <v>139</v>
      </c>
      <c r="N79" s="119">
        <v>2</v>
      </c>
      <c r="O79" s="119">
        <v>4</v>
      </c>
      <c r="P79" s="106">
        <v>2</v>
      </c>
      <c r="Q79" s="78" t="s">
        <v>109</v>
      </c>
      <c r="S79" s="131">
        <f>IF(RIGHT(Q79,1)="L",360-MID(Q79,1,FIND("L",Q79,1)-1),MID(Q79,1,FIND("C",Q79,1)-1))</f>
        <v>193</v>
      </c>
      <c r="T79" s="108">
        <f>IF((S79+$AB$2)&gt;359,(S79+$AB$2)-360,S79+$AB$2)</f>
        <v>86</v>
      </c>
      <c r="U79" s="138">
        <v>0</v>
      </c>
      <c r="V79" s="138">
        <f>P79*COS(RADIANS(T79))</f>
        <v>0.13951294748825047</v>
      </c>
      <c r="W79" s="144">
        <v>0</v>
      </c>
      <c r="X79" s="139">
        <f>P79*SIN(RADIANS(T79))</f>
        <v>1.9951281005196484</v>
      </c>
    </row>
    <row r="80">
      <c r="B80" s="103">
        <v>22</v>
      </c>
      <c r="C80" s="324"/>
      <c r="D80" s="326"/>
      <c r="E80" s="108" t="s">
        <v>232</v>
      </c>
      <c r="F80" s="317"/>
      <c r="G80" s="108">
        <v>137</v>
      </c>
      <c r="H80" s="108">
        <v>1</v>
      </c>
      <c r="I80" s="108" t="s">
        <v>111</v>
      </c>
      <c r="J80" s="108">
        <v>141</v>
      </c>
      <c r="K80" s="108">
        <v>2</v>
      </c>
      <c r="L80" s="108" t="s">
        <v>7</v>
      </c>
      <c r="M80" s="317"/>
      <c r="N80" s="120">
        <v>6</v>
      </c>
      <c r="O80" s="120">
        <v>8</v>
      </c>
      <c r="P80" s="108">
        <v>2</v>
      </c>
      <c r="Q80" s="59" t="s">
        <v>111</v>
      </c>
      <c r="S80" s="131" t="str">
        <f>IF(RIGHT(Q80,1)="L",360-MID(Q80,1,FIND("L",Q80,1)-1),MID(Q80,1,FIND("C",Q80,1)-1))</f>
        <v>73</v>
      </c>
      <c r="T80" s="108">
        <f>IF((S80+$AB$2)&gt;359,(S80+$AB$2)-360,S80+$AB$2)</f>
        <v>326</v>
      </c>
      <c r="U80" s="140">
        <v>0</v>
      </c>
      <c r="V80" s="140">
        <f>P80*COS(RADIANS(T80))</f>
        <v>1.6580751451100837</v>
      </c>
      <c r="W80" s="145">
        <v>0</v>
      </c>
      <c r="X80" s="141">
        <f>P80*SIN(RADIANS(T80))</f>
        <v>-1.1183858069414931</v>
      </c>
    </row>
    <row r="81">
      <c r="B81" s="103">
        <v>23</v>
      </c>
      <c r="C81" s="324"/>
      <c r="D81" s="326"/>
      <c r="E81" s="120" t="s">
        <v>233</v>
      </c>
      <c r="F81" s="317"/>
      <c r="G81" s="108">
        <v>138</v>
      </c>
      <c r="H81" s="108">
        <v>2</v>
      </c>
      <c r="I81" s="108" t="s">
        <v>118</v>
      </c>
      <c r="J81" s="108">
        <v>142</v>
      </c>
      <c r="K81" s="108">
        <v>1</v>
      </c>
      <c r="L81" s="108" t="s">
        <v>8</v>
      </c>
      <c r="M81" s="359"/>
      <c r="N81" s="120">
        <v>10</v>
      </c>
      <c r="O81" s="120">
        <v>12</v>
      </c>
      <c r="P81" s="108">
        <v>2</v>
      </c>
      <c r="Q81" s="59" t="s">
        <v>118</v>
      </c>
      <c r="S81" s="148">
        <f>IF(RIGHT(Q81,1)="L",360-MID(Q81,1,FIND("L",Q81,1)-1),MID(Q81,1,FIND("C",Q81,1)-1))</f>
        <v>317</v>
      </c>
      <c r="T81" s="110">
        <f>IF((S81+$AB$2)&gt;359,(S81+$AB$2)-360,S81+$AB$2)</f>
        <v>210</v>
      </c>
      <c r="U81" s="142">
        <v>0</v>
      </c>
      <c r="V81" s="142">
        <f>P81*COS(RADIANS(T81))</f>
        <v>-1.7320508075688772</v>
      </c>
      <c r="W81" s="146">
        <v>0</v>
      </c>
      <c r="X81" s="143">
        <f>P81*SIN(RADIANS(T81))</f>
        <v>-1.0000000000000002</v>
      </c>
    </row>
    <row r="82">
      <c r="B82" s="104">
        <v>24</v>
      </c>
      <c r="C82" s="325"/>
      <c r="D82" s="262"/>
      <c r="E82" s="121" t="s">
        <v>63</v>
      </c>
      <c r="F82" s="304"/>
      <c r="G82" s="121">
        <v>139</v>
      </c>
      <c r="H82" s="110">
        <v>0</v>
      </c>
      <c r="I82" s="110" t="s">
        <v>37</v>
      </c>
      <c r="J82" s="121">
        <v>143</v>
      </c>
      <c r="K82" s="110"/>
      <c r="L82" s="110"/>
      <c r="M82" s="311" t="s">
        <v>37</v>
      </c>
      <c r="N82" s="312"/>
      <c r="O82" s="312"/>
      <c r="P82" s="312"/>
      <c r="Q82" s="313"/>
      <c r="S82" s="130" t="s">
        <v>18</v>
      </c>
      <c r="T82" s="106" t="s">
        <v>23</v>
      </c>
      <c r="U82" s="405" t="s">
        <v>24</v>
      </c>
      <c r="V82" s="404"/>
      <c r="W82" s="405" t="s">
        <v>25</v>
      </c>
      <c r="X82" s="406"/>
    </row>
    <row r="83">
      <c r="B83" s="102">
        <v>269</v>
      </c>
      <c r="C83" s="394" t="s">
        <v>193</v>
      </c>
      <c r="D83" s="286" t="s">
        <v>226</v>
      </c>
      <c r="E83" s="149" t="s">
        <v>194</v>
      </c>
      <c r="F83" s="265" t="s">
        <v>114</v>
      </c>
      <c r="G83" s="149">
        <v>144</v>
      </c>
      <c r="H83" s="149">
        <f>7/7</f>
        <v>1</v>
      </c>
      <c r="I83" s="149" t="s">
        <v>109</v>
      </c>
      <c r="J83" s="149">
        <v>155</v>
      </c>
      <c r="K83" s="149">
        <v>1</v>
      </c>
      <c r="L83" s="149" t="s">
        <v>6</v>
      </c>
      <c r="M83" s="265" t="s">
        <v>195</v>
      </c>
      <c r="N83" s="149">
        <v>2</v>
      </c>
      <c r="O83" s="149">
        <v>4</v>
      </c>
      <c r="P83" s="149">
        <v>2</v>
      </c>
      <c r="Q83" s="161" t="s">
        <v>109</v>
      </c>
      <c r="S83" s="131">
        <f>IF(RIGHT(Q83,1)="L",360-MID(Q83,1,FIND("L",Q83,1)-1),MID(Q83,1,FIND("C",Q83,1)-1))</f>
        <v>193</v>
      </c>
      <c r="T83" s="108">
        <f>IF((S83+$AB$2)&gt;359,(S83+$AB$2)-360,S83+$AB$2)</f>
        <v>86</v>
      </c>
      <c r="U83" s="138">
        <v>0</v>
      </c>
      <c r="V83" s="138">
        <f>P83*COS(RADIANS(T83))</f>
        <v>0.13951294748825047</v>
      </c>
      <c r="W83" s="144">
        <v>0</v>
      </c>
      <c r="X83" s="139">
        <f>P83*SIN(RADIANS(T83))</f>
        <v>1.9951281005196484</v>
      </c>
    </row>
    <row r="84">
      <c r="B84" s="103">
        <v>270</v>
      </c>
      <c r="C84" s="395"/>
      <c r="D84" s="287"/>
      <c r="E84" s="150" t="s">
        <v>196</v>
      </c>
      <c r="F84" s="266"/>
      <c r="G84" s="150">
        <v>145</v>
      </c>
      <c r="H84" s="150">
        <v>1</v>
      </c>
      <c r="I84" s="150" t="s">
        <v>111</v>
      </c>
      <c r="J84" s="150">
        <v>155</v>
      </c>
      <c r="K84" s="150">
        <v>2</v>
      </c>
      <c r="L84" s="150" t="s">
        <v>7</v>
      </c>
      <c r="M84" s="266"/>
      <c r="N84" s="150">
        <v>6</v>
      </c>
      <c r="O84" s="150">
        <v>8</v>
      </c>
      <c r="P84" s="150">
        <v>2</v>
      </c>
      <c r="Q84" s="162" t="s">
        <v>111</v>
      </c>
      <c r="S84" s="131" t="str">
        <f>IF(RIGHT(Q84,1)="L",360-MID(Q84,1,FIND("L",Q84,1)-1),MID(Q84,1,FIND("C",Q84,1)-1))</f>
        <v>73</v>
      </c>
      <c r="T84" s="108">
        <f>IF((S84+$AB$2)&gt;359,(S84+$AB$2)-360,S84+$AB$2)</f>
        <v>326</v>
      </c>
      <c r="U84" s="140">
        <v>0</v>
      </c>
      <c r="V84" s="140">
        <f>P84*COS(RADIANS(T84))</f>
        <v>1.6580751451100837</v>
      </c>
      <c r="W84" s="145">
        <v>0</v>
      </c>
      <c r="X84" s="141">
        <f>P84*SIN(RADIANS(T84))</f>
        <v>-1.1183858069414931</v>
      </c>
    </row>
    <row r="85">
      <c r="B85" s="103">
        <v>271</v>
      </c>
      <c r="C85" s="395"/>
      <c r="D85" s="287"/>
      <c r="E85" s="150" t="s">
        <v>197</v>
      </c>
      <c r="F85" s="266"/>
      <c r="G85" s="150">
        <v>146</v>
      </c>
      <c r="H85" s="150">
        <v>2</v>
      </c>
      <c r="I85" s="150" t="s">
        <v>118</v>
      </c>
      <c r="J85" s="150">
        <v>155</v>
      </c>
      <c r="K85" s="150">
        <v>1</v>
      </c>
      <c r="L85" s="150" t="s">
        <v>8</v>
      </c>
      <c r="M85" s="295"/>
      <c r="N85" s="150">
        <v>10</v>
      </c>
      <c r="O85" s="150">
        <v>12</v>
      </c>
      <c r="P85" s="150">
        <v>2</v>
      </c>
      <c r="Q85" s="162" t="s">
        <v>118</v>
      </c>
      <c r="S85" s="148">
        <f>IF(RIGHT(Q85,1)="L",360-MID(Q85,1,FIND("L",Q85,1)-1),MID(Q85,1,FIND("C",Q85,1)-1))</f>
        <v>317</v>
      </c>
      <c r="T85" s="110">
        <f>IF((S85+$AB$2)&gt;359,(S85+$AB$2)-360,S85+$AB$2)</f>
        <v>210</v>
      </c>
      <c r="U85" s="142">
        <v>0</v>
      </c>
      <c r="V85" s="142">
        <f>P85*COS(RADIANS(T85))</f>
        <v>-1.7320508075688772</v>
      </c>
      <c r="W85" s="146">
        <v>0</v>
      </c>
      <c r="X85" s="143">
        <f>P85*SIN(RADIANS(T85))</f>
        <v>-1.0000000000000002</v>
      </c>
    </row>
    <row r="86">
      <c r="B86" s="104">
        <v>272</v>
      </c>
      <c r="C86" s="396"/>
      <c r="D86" s="288"/>
      <c r="E86" s="151" t="s">
        <v>198</v>
      </c>
      <c r="F86" s="267"/>
      <c r="G86" s="151">
        <v>147</v>
      </c>
      <c r="H86" s="151">
        <v>0</v>
      </c>
      <c r="I86" s="151" t="s">
        <v>37</v>
      </c>
      <c r="J86" s="151">
        <v>151</v>
      </c>
      <c r="K86" s="151"/>
      <c r="L86" s="151"/>
      <c r="M86" s="274" t="s">
        <v>37</v>
      </c>
      <c r="N86" s="275"/>
      <c r="O86" s="275"/>
      <c r="P86" s="275"/>
      <c r="Q86" s="276"/>
    </row>
    <row r="87" ht="15" customHeight="1">
      <c r="B87" s="103">
        <v>217</v>
      </c>
      <c r="C87" s="323" t="s">
        <v>234</v>
      </c>
      <c r="D87" s="261" t="s">
        <v>226</v>
      </c>
      <c r="E87" s="106" t="s">
        <v>235</v>
      </c>
      <c r="F87" s="263" t="s">
        <v>114</v>
      </c>
      <c r="G87" s="106">
        <v>152</v>
      </c>
      <c r="H87" s="106">
        <v>0</v>
      </c>
      <c r="I87" s="106" t="s">
        <v>37</v>
      </c>
      <c r="J87" s="106">
        <v>153</v>
      </c>
      <c r="K87" s="106">
        <v>0</v>
      </c>
      <c r="L87" s="106" t="s">
        <v>37</v>
      </c>
      <c r="M87" s="303" t="s">
        <v>201</v>
      </c>
      <c r="N87" s="119">
        <v>2</v>
      </c>
      <c r="O87" s="119">
        <v>4</v>
      </c>
      <c r="P87" s="106">
        <v>0</v>
      </c>
      <c r="Q87" s="107" t="s">
        <v>37</v>
      </c>
    </row>
    <row r="88">
      <c r="B88" s="103">
        <v>218</v>
      </c>
      <c r="C88" s="324"/>
      <c r="D88" s="343"/>
      <c r="E88" s="125" t="s">
        <v>236</v>
      </c>
      <c r="F88" s="337"/>
      <c r="G88" s="125" t="s">
        <v>237</v>
      </c>
      <c r="H88" s="125">
        <v>0</v>
      </c>
      <c r="I88" s="125" t="s">
        <v>37</v>
      </c>
      <c r="J88" s="125" t="s">
        <v>237</v>
      </c>
      <c r="K88" s="125">
        <v>0</v>
      </c>
      <c r="L88" s="125" t="s">
        <v>37</v>
      </c>
      <c r="M88" s="317"/>
      <c r="N88" s="28">
        <v>2</v>
      </c>
      <c r="O88" s="28">
        <v>4</v>
      </c>
      <c r="P88" s="125">
        <v>0</v>
      </c>
      <c r="Q88" s="126" t="s">
        <v>37</v>
      </c>
    </row>
    <row r="89">
      <c r="B89" s="103">
        <v>213</v>
      </c>
      <c r="C89" s="394" t="s">
        <v>203</v>
      </c>
      <c r="D89" s="286" t="s">
        <v>226</v>
      </c>
      <c r="E89" s="122" t="s">
        <v>238</v>
      </c>
      <c r="F89" s="289" t="s">
        <v>114</v>
      </c>
      <c r="G89" s="122">
        <v>154</v>
      </c>
      <c r="H89" s="122">
        <v>0</v>
      </c>
      <c r="I89" s="122" t="s">
        <v>37</v>
      </c>
      <c r="J89" s="268" t="s">
        <v>37</v>
      </c>
      <c r="K89" s="269"/>
      <c r="L89" s="292"/>
      <c r="M89" s="265" t="s">
        <v>205</v>
      </c>
      <c r="N89" s="122">
        <v>2</v>
      </c>
      <c r="O89" s="122">
        <v>4</v>
      </c>
      <c r="P89" s="122">
        <v>0</v>
      </c>
      <c r="Q89" s="134" t="s">
        <v>37</v>
      </c>
    </row>
    <row r="90">
      <c r="B90" s="103">
        <v>214</v>
      </c>
      <c r="C90" s="396"/>
      <c r="D90" s="288"/>
      <c r="E90" s="124" t="s">
        <v>206</v>
      </c>
      <c r="F90" s="291"/>
      <c r="G90" s="124">
        <v>155</v>
      </c>
      <c r="H90" s="124">
        <v>0</v>
      </c>
      <c r="I90" s="124" t="s">
        <v>37</v>
      </c>
      <c r="J90" s="274"/>
      <c r="K90" s="275"/>
      <c r="L90" s="294"/>
      <c r="M90" s="267"/>
      <c r="N90" s="124">
        <v>2</v>
      </c>
      <c r="O90" s="124">
        <v>4</v>
      </c>
      <c r="P90" s="124">
        <v>0</v>
      </c>
      <c r="Q90" s="136" t="s">
        <v>37</v>
      </c>
      <c r="S90" s="130" t="s">
        <v>18</v>
      </c>
      <c r="T90" s="106" t="s">
        <v>23</v>
      </c>
      <c r="U90" s="405" t="s">
        <v>24</v>
      </c>
      <c r="V90" s="404"/>
      <c r="W90" s="405" t="s">
        <v>25</v>
      </c>
      <c r="X90" s="406"/>
    </row>
    <row r="91">
      <c r="B91" s="103">
        <v>105</v>
      </c>
      <c r="C91" s="379" t="s">
        <v>239</v>
      </c>
      <c r="D91" s="261" t="s">
        <v>226</v>
      </c>
      <c r="E91" s="106" t="s">
        <v>240</v>
      </c>
      <c r="F91" s="339" t="s">
        <v>114</v>
      </c>
      <c r="G91" s="119">
        <v>156</v>
      </c>
      <c r="H91" s="119">
        <v>14</v>
      </c>
      <c r="I91" s="106" t="s">
        <v>6</v>
      </c>
      <c r="J91" s="339" t="s">
        <v>37</v>
      </c>
      <c r="K91" s="339"/>
      <c r="L91" s="339"/>
      <c r="M91" s="339" t="s">
        <v>210</v>
      </c>
      <c r="N91" s="119">
        <v>2</v>
      </c>
      <c r="O91" s="119">
        <v>4</v>
      </c>
      <c r="P91" s="119">
        <v>14</v>
      </c>
      <c r="Q91" s="107" t="s">
        <v>6</v>
      </c>
      <c r="S91" s="131">
        <f>IF(RIGHT(Q91,1)="L",360-MID(Q91,1,FIND("L",Q91,1)-1),MID(Q91,1,FIND("C",Q91,1)-1))</f>
        <v>197</v>
      </c>
      <c r="T91" s="108">
        <f>IF((S91+$AB$2)&gt;359,(S91+$AB$2)-360,S91+$AB$2)</f>
        <v>90</v>
      </c>
      <c r="U91" s="138">
        <v>0</v>
      </c>
      <c r="V91" s="138">
        <f>P91*COS(RADIANS(T91))</f>
        <v>8.57603918436034E-16</v>
      </c>
      <c r="W91" s="144">
        <v>0</v>
      </c>
      <c r="X91" s="139">
        <f>P91*SIN(RADIANS(T91))</f>
        <v>14</v>
      </c>
    </row>
    <row r="92">
      <c r="B92" s="103">
        <v>106</v>
      </c>
      <c r="C92" s="380"/>
      <c r="D92" s="326"/>
      <c r="E92" s="108" t="s">
        <v>241</v>
      </c>
      <c r="F92" s="340"/>
      <c r="G92" s="120">
        <v>157</v>
      </c>
      <c r="H92" s="120">
        <v>14</v>
      </c>
      <c r="I92" s="108" t="s">
        <v>133</v>
      </c>
      <c r="J92" s="340"/>
      <c r="K92" s="340"/>
      <c r="L92" s="340"/>
      <c r="M92" s="340"/>
      <c r="N92" s="120">
        <v>6</v>
      </c>
      <c r="O92" s="120">
        <v>8</v>
      </c>
      <c r="P92" s="120">
        <v>14</v>
      </c>
      <c r="Q92" s="109" t="s">
        <v>133</v>
      </c>
      <c r="S92" s="131" t="str">
        <f>IF(RIGHT(Q92,1)="L",360-MID(Q92,1,FIND("L",Q92,1)-1),MID(Q92,1,FIND("C",Q92,1)-1))</f>
        <v>78</v>
      </c>
      <c r="T92" s="108">
        <f>IF((S92+$AB$2)&gt;359,(S92+$AB$2)-360,S92+$AB$2)</f>
        <v>331</v>
      </c>
      <c r="U92" s="140">
        <v>0</v>
      </c>
      <c r="V92" s="140">
        <f>P92*COS(RADIANS(T92))</f>
        <v>12.244675899951542</v>
      </c>
      <c r="W92" s="145">
        <v>0</v>
      </c>
      <c r="X92" s="141">
        <f>P92*SIN(RADIANS(T92))</f>
        <v>-6.787334683448717</v>
      </c>
    </row>
    <row r="93">
      <c r="B93" s="103">
        <v>107</v>
      </c>
      <c r="C93" s="380"/>
      <c r="D93" s="326"/>
      <c r="E93" s="120" t="s">
        <v>242</v>
      </c>
      <c r="F93" s="340"/>
      <c r="G93" s="120">
        <v>158</v>
      </c>
      <c r="H93" s="120">
        <v>14</v>
      </c>
      <c r="I93" s="108" t="s">
        <v>8</v>
      </c>
      <c r="J93" s="340"/>
      <c r="K93" s="340"/>
      <c r="L93" s="340"/>
      <c r="M93" s="340"/>
      <c r="N93" s="120">
        <v>10</v>
      </c>
      <c r="O93" s="120">
        <v>12</v>
      </c>
      <c r="P93" s="120">
        <v>14</v>
      </c>
      <c r="Q93" s="109" t="s">
        <v>8</v>
      </c>
      <c r="S93" s="148">
        <f>IF(RIGHT(Q93,1)="L",360-MID(Q93,1,FIND("L",Q93,1)-1),MID(Q93,1,FIND("C",Q93,1)-1))</f>
        <v>315</v>
      </c>
      <c r="T93" s="110">
        <f>IF((S93+$AB$2)&gt;359,(S93+$AB$2)-360,S93+$AB$2)</f>
        <v>208</v>
      </c>
      <c r="U93" s="142">
        <v>0</v>
      </c>
      <c r="V93" s="142">
        <f>P93*COS(RADIANS(T93))</f>
        <v>-12.361266300024976</v>
      </c>
      <c r="W93" s="146">
        <v>0</v>
      </c>
      <c r="X93" s="143">
        <f>P93*SIN(RADIANS(T93))</f>
        <v>-6.572601879002472</v>
      </c>
    </row>
    <row r="94">
      <c r="B94" s="103">
        <v>108</v>
      </c>
      <c r="C94" s="381"/>
      <c r="D94" s="262"/>
      <c r="E94" s="121" t="s">
        <v>243</v>
      </c>
      <c r="F94" s="342"/>
      <c r="G94" s="121">
        <v>159</v>
      </c>
      <c r="H94" s="121">
        <v>0</v>
      </c>
      <c r="I94" s="110" t="s">
        <v>37</v>
      </c>
      <c r="J94" s="342"/>
      <c r="K94" s="342"/>
      <c r="L94" s="342"/>
      <c r="M94" s="342" t="s">
        <v>37</v>
      </c>
      <c r="N94" s="342"/>
      <c r="O94" s="342"/>
      <c r="P94" s="342"/>
      <c r="Q94" s="347"/>
      <c r="S94" s="130" t="s">
        <v>18</v>
      </c>
      <c r="T94" s="106" t="s">
        <v>23</v>
      </c>
      <c r="U94" s="405" t="s">
        <v>24</v>
      </c>
      <c r="V94" s="404"/>
      <c r="W94" s="405" t="s">
        <v>25</v>
      </c>
      <c r="X94" s="406"/>
    </row>
    <row r="95" ht="15" customHeight="1">
      <c r="B95" s="103">
        <v>169</v>
      </c>
      <c r="C95" s="394" t="s">
        <v>149</v>
      </c>
      <c r="D95" s="286" t="s">
        <v>226</v>
      </c>
      <c r="E95" s="122" t="s">
        <v>244</v>
      </c>
      <c r="F95" s="348" t="s">
        <v>114</v>
      </c>
      <c r="G95" s="122">
        <v>164</v>
      </c>
      <c r="H95" s="122">
        <v>28</v>
      </c>
      <c r="I95" s="122" t="s">
        <v>131</v>
      </c>
      <c r="J95" s="348" t="s">
        <v>37</v>
      </c>
      <c r="K95" s="348"/>
      <c r="L95" s="348"/>
      <c r="M95" s="348" t="s">
        <v>216</v>
      </c>
      <c r="N95" s="122">
        <v>2</v>
      </c>
      <c r="O95" s="122">
        <v>4</v>
      </c>
      <c r="P95" s="122">
        <v>31</v>
      </c>
      <c r="Q95" s="134" t="s">
        <v>131</v>
      </c>
      <c r="S95" s="131">
        <f>IF(RIGHT(Q95,1)="L",360-MID(Q95,1,FIND("L",Q95,1)-1),MID(Q95,1,FIND("C",Q95,1)-1))</f>
        <v>196</v>
      </c>
      <c r="T95" s="108">
        <f>IF((S95+$AB$2)&gt;359,(S95+$AB$2)-360,S95+$AB$2)</f>
        <v>89</v>
      </c>
      <c r="U95" s="138">
        <v>0</v>
      </c>
      <c r="V95" s="138">
        <f>P95*COS(RADIANS(T95))</f>
        <v>0.5410245995557915</v>
      </c>
      <c r="W95" s="144">
        <v>0</v>
      </c>
      <c r="X95" s="139">
        <f>P95*SIN(RADIANS(T95))</f>
        <v>30.99527854984813</v>
      </c>
    </row>
    <row r="96">
      <c r="B96" s="103">
        <v>170</v>
      </c>
      <c r="C96" s="395"/>
      <c r="D96" s="287"/>
      <c r="E96" s="123" t="s">
        <v>245</v>
      </c>
      <c r="F96" s="349"/>
      <c r="G96" s="123">
        <v>165</v>
      </c>
      <c r="H96" s="123">
        <v>29</v>
      </c>
      <c r="I96" s="123" t="s">
        <v>133</v>
      </c>
      <c r="J96" s="349"/>
      <c r="K96" s="349"/>
      <c r="L96" s="349"/>
      <c r="M96" s="349"/>
      <c r="N96" s="123">
        <v>6</v>
      </c>
      <c r="O96" s="123">
        <v>8</v>
      </c>
      <c r="P96" s="123">
        <v>29</v>
      </c>
      <c r="Q96" s="135" t="s">
        <v>133</v>
      </c>
      <c r="S96" s="131" t="str">
        <f>IF(RIGHT(Q96,1)="L",360-MID(Q96,1,FIND("L",Q96,1)-1),MID(Q96,1,FIND("C",Q96,1)-1))</f>
        <v>78</v>
      </c>
      <c r="T96" s="108">
        <f>IF((S96+$AB$2)&gt;359,(S96+$AB$2)-360,S96+$AB$2)</f>
        <v>331</v>
      </c>
      <c r="U96" s="140">
        <v>0</v>
      </c>
      <c r="V96" s="140">
        <f>P96*COS(RADIANS(T96))</f>
        <v>25.36397150704248</v>
      </c>
      <c r="W96" s="145">
        <v>0</v>
      </c>
      <c r="X96" s="141">
        <f>P96*SIN(RADIANS(T96))</f>
        <v>-14.05947898714377</v>
      </c>
    </row>
    <row r="97">
      <c r="B97" s="103">
        <v>171</v>
      </c>
      <c r="C97" s="395"/>
      <c r="D97" s="287"/>
      <c r="E97" s="123" t="s">
        <v>246</v>
      </c>
      <c r="F97" s="349"/>
      <c r="G97" s="123">
        <v>166</v>
      </c>
      <c r="H97" s="123">
        <v>29</v>
      </c>
      <c r="I97" s="123" t="s">
        <v>135</v>
      </c>
      <c r="J97" s="349"/>
      <c r="K97" s="349"/>
      <c r="L97" s="349"/>
      <c r="M97" s="349"/>
      <c r="N97" s="123">
        <v>10</v>
      </c>
      <c r="O97" s="123">
        <v>12</v>
      </c>
      <c r="P97" s="123">
        <v>30</v>
      </c>
      <c r="Q97" s="135" t="s">
        <v>135</v>
      </c>
      <c r="S97" s="148">
        <f>IF(RIGHT(Q97,1)="L",360-MID(Q97,1,FIND("L",Q97,1)-1),MID(Q97,1,FIND("C",Q97,1)-1))</f>
        <v>316</v>
      </c>
      <c r="T97" s="110">
        <f>IF((S97+$AB$2)&gt;359,(S97+$AB$2)-360,S97+$AB$2)</f>
        <v>209</v>
      </c>
      <c r="U97" s="142">
        <v>0</v>
      </c>
      <c r="V97" s="142">
        <f>P97*COS(RADIANS(T97))</f>
        <v>-26.238591214181877</v>
      </c>
      <c r="W97" s="146">
        <v>0</v>
      </c>
      <c r="X97" s="143">
        <f>P97*SIN(RADIANS(T97))</f>
        <v>-14.544288607390108</v>
      </c>
    </row>
    <row r="98">
      <c r="B98" s="103">
        <v>172</v>
      </c>
      <c r="C98" s="396"/>
      <c r="D98" s="288"/>
      <c r="E98" s="124" t="s">
        <v>247</v>
      </c>
      <c r="F98" s="350"/>
      <c r="G98" s="124">
        <v>167</v>
      </c>
      <c r="H98" s="124">
        <v>0</v>
      </c>
      <c r="I98" s="124" t="s">
        <v>37</v>
      </c>
      <c r="J98" s="350"/>
      <c r="K98" s="350"/>
      <c r="L98" s="350"/>
      <c r="M98" s="350" t="s">
        <v>37</v>
      </c>
      <c r="N98" s="350"/>
      <c r="O98" s="350"/>
      <c r="P98" s="350"/>
      <c r="Q98" s="353"/>
      <c r="S98" s="130" t="s">
        <v>18</v>
      </c>
      <c r="T98" s="106" t="s">
        <v>23</v>
      </c>
      <c r="U98" s="405" t="s">
        <v>24</v>
      </c>
      <c r="V98" s="404"/>
      <c r="W98" s="405" t="s">
        <v>25</v>
      </c>
      <c r="X98" s="406"/>
    </row>
    <row r="99" ht="15" customHeight="1">
      <c r="B99" s="103">
        <v>193</v>
      </c>
      <c r="C99" s="394" t="s">
        <v>155</v>
      </c>
      <c r="D99" s="286" t="s">
        <v>226</v>
      </c>
      <c r="E99" s="122" t="s">
        <v>248</v>
      </c>
      <c r="F99" s="265" t="s">
        <v>114</v>
      </c>
      <c r="G99" s="122">
        <v>172</v>
      </c>
      <c r="H99" s="122">
        <v>28</v>
      </c>
      <c r="I99" s="122" t="s">
        <v>131</v>
      </c>
      <c r="J99" s="268" t="s">
        <v>37</v>
      </c>
      <c r="K99" s="269"/>
      <c r="L99" s="292"/>
      <c r="M99" s="265" t="s">
        <v>221</v>
      </c>
      <c r="N99" s="122">
        <v>2</v>
      </c>
      <c r="O99" s="122">
        <v>4</v>
      </c>
      <c r="P99" s="122">
        <v>32</v>
      </c>
      <c r="Q99" s="134" t="s">
        <v>131</v>
      </c>
      <c r="S99" s="131">
        <f>IF(RIGHT(Q99,1)="L",360-MID(Q99,1,FIND("L",Q99,1)-1),MID(Q99,1,FIND("C",Q99,1)-1))</f>
        <v>196</v>
      </c>
      <c r="T99" s="108">
        <f>IF((S99+$AB$2)&gt;359,(S99+$AB$2)-360,S99+$AB$2)</f>
        <v>89</v>
      </c>
      <c r="U99" s="138">
        <v>0</v>
      </c>
      <c r="V99" s="138">
        <f>P99*COS(RADIANS(T99))</f>
        <v>0.5584770059930751</v>
      </c>
      <c r="W99" s="144">
        <v>0</v>
      </c>
      <c r="X99" s="139">
        <f>P99*SIN(RADIANS(T99))</f>
        <v>31.99512624500452</v>
      </c>
    </row>
    <row r="100">
      <c r="B100" s="103">
        <v>194</v>
      </c>
      <c r="C100" s="395"/>
      <c r="D100" s="287"/>
      <c r="E100" s="123" t="s">
        <v>249</v>
      </c>
      <c r="F100" s="266"/>
      <c r="G100" s="123">
        <v>173</v>
      </c>
      <c r="H100" s="123">
        <v>29</v>
      </c>
      <c r="I100" s="123" t="s">
        <v>133</v>
      </c>
      <c r="J100" s="271"/>
      <c r="K100" s="272"/>
      <c r="L100" s="293"/>
      <c r="M100" s="266"/>
      <c r="N100" s="123">
        <v>6</v>
      </c>
      <c r="O100" s="123">
        <v>8</v>
      </c>
      <c r="P100" s="123">
        <v>34</v>
      </c>
      <c r="Q100" s="135" t="s">
        <v>133</v>
      </c>
      <c r="S100" s="131" t="str">
        <f>IF(RIGHT(Q100,1)="L",360-MID(Q100,1,FIND("L",Q100,1)-1),MID(Q100,1,FIND("C",Q100,1)-1))</f>
        <v>78</v>
      </c>
      <c r="T100" s="108">
        <f>IF((S100+$AB$2)&gt;359,(S100+$AB$2)-360,S100+$AB$2)</f>
        <v>331</v>
      </c>
      <c r="U100" s="140">
        <v>0</v>
      </c>
      <c r="V100" s="140">
        <f>P100*COS(RADIANS(T100))</f>
        <v>29.737070042739457</v>
      </c>
      <c r="W100" s="145">
        <v>0</v>
      </c>
      <c r="X100" s="141">
        <f>P100*SIN(RADIANS(T100))</f>
        <v>-16.483527088375453</v>
      </c>
    </row>
    <row r="101">
      <c r="B101" s="103">
        <v>195</v>
      </c>
      <c r="C101" s="395"/>
      <c r="D101" s="287"/>
      <c r="E101" s="123" t="s">
        <v>250</v>
      </c>
      <c r="F101" s="266"/>
      <c r="G101" s="123">
        <v>174</v>
      </c>
      <c r="H101" s="123">
        <v>29</v>
      </c>
      <c r="I101" s="123" t="s">
        <v>8</v>
      </c>
      <c r="J101" s="271"/>
      <c r="K101" s="272"/>
      <c r="L101" s="293"/>
      <c r="M101" s="295"/>
      <c r="N101" s="123">
        <v>10</v>
      </c>
      <c r="O101" s="123">
        <v>12</v>
      </c>
      <c r="P101" s="123">
        <v>31</v>
      </c>
      <c r="Q101" s="135" t="s">
        <v>8</v>
      </c>
      <c r="S101" s="148">
        <f>IF(RIGHT(Q101,1)="L",360-MID(Q101,1,FIND("L",Q101,1)-1),MID(Q101,1,FIND("C",Q101,1)-1))</f>
        <v>315</v>
      </c>
      <c r="T101" s="110">
        <f>IF((S101+$AB$2)&gt;359,(S101+$AB$2)-360,S101+$AB$2)</f>
        <v>208</v>
      </c>
      <c r="U101" s="142">
        <v>0</v>
      </c>
      <c r="V101" s="142">
        <f>P101*COS(RADIANS(T101))</f>
        <v>-27.371375378626734</v>
      </c>
      <c r="W101" s="146">
        <v>0</v>
      </c>
      <c r="X101" s="143">
        <f>P101*SIN(RADIANS(T101))</f>
        <v>-14.553618446362616</v>
      </c>
    </row>
    <row r="102">
      <c r="B102" s="103">
        <v>196</v>
      </c>
      <c r="C102" s="396"/>
      <c r="D102" s="288"/>
      <c r="E102" s="124" t="s">
        <v>251</v>
      </c>
      <c r="F102" s="267"/>
      <c r="G102" s="124">
        <v>175</v>
      </c>
      <c r="H102" s="124">
        <v>0</v>
      </c>
      <c r="I102" s="124" t="s">
        <v>37</v>
      </c>
      <c r="J102" s="274"/>
      <c r="K102" s="275"/>
      <c r="L102" s="294"/>
      <c r="M102" s="274" t="s">
        <v>37</v>
      </c>
      <c r="N102" s="275"/>
      <c r="O102" s="275"/>
      <c r="P102" s="275"/>
      <c r="Q102" s="276"/>
      <c r="S102" s="130" t="s">
        <v>18</v>
      </c>
      <c r="T102" s="106" t="s">
        <v>23</v>
      </c>
      <c r="U102" s="405" t="s">
        <v>24</v>
      </c>
      <c r="V102" s="404"/>
      <c r="W102" s="405" t="s">
        <v>25</v>
      </c>
      <c r="X102" s="406"/>
    </row>
    <row r="103">
      <c r="B103" s="103">
        <v>157</v>
      </c>
      <c r="C103" s="323" t="s">
        <v>239</v>
      </c>
      <c r="D103" s="261" t="s">
        <v>252</v>
      </c>
      <c r="E103" s="106" t="s">
        <v>253</v>
      </c>
      <c r="F103" s="261" t="s">
        <v>105</v>
      </c>
      <c r="G103" s="119">
        <v>1</v>
      </c>
      <c r="H103" s="106">
        <v>31</v>
      </c>
      <c r="I103" s="106" t="s">
        <v>115</v>
      </c>
      <c r="J103" s="119">
        <v>2</v>
      </c>
      <c r="K103" s="106">
        <v>31</v>
      </c>
      <c r="L103" s="106" t="s">
        <v>115</v>
      </c>
      <c r="M103" s="261" t="s">
        <v>254</v>
      </c>
      <c r="N103" s="119">
        <v>2</v>
      </c>
      <c r="O103" s="119">
        <v>4</v>
      </c>
      <c r="P103" s="106">
        <v>30</v>
      </c>
      <c r="Q103" s="107" t="s">
        <v>115</v>
      </c>
      <c r="S103" s="131">
        <f>IF(RIGHT(Q103,1)="L",360-MID(Q103,1,FIND("L",Q103,1)-1),MID(Q103,1,FIND("C",Q103,1)-1))</f>
        <v>198</v>
      </c>
      <c r="T103" s="108">
        <f>IF((S103+$AB$2)&gt;359,(S103+$AB$2)-360,S103+$AB$2)</f>
        <v>91</v>
      </c>
      <c r="U103" s="138">
        <v>0</v>
      </c>
      <c r="V103" s="138">
        <f>P103*COS(RADIANS(T103))</f>
        <v>-0.5235721931185043</v>
      </c>
      <c r="W103" s="144">
        <v>0</v>
      </c>
      <c r="X103" s="139">
        <f>P103*SIN(RADIANS(T103))</f>
        <v>29.995430854691737</v>
      </c>
    </row>
    <row r="104">
      <c r="B104" s="103">
        <v>158</v>
      </c>
      <c r="C104" s="324"/>
      <c r="D104" s="326"/>
      <c r="E104" s="108" t="s">
        <v>255</v>
      </c>
      <c r="F104" s="326"/>
      <c r="G104" s="120">
        <v>3</v>
      </c>
      <c r="H104" s="108">
        <v>32</v>
      </c>
      <c r="I104" s="108" t="s">
        <v>7</v>
      </c>
      <c r="J104" s="120">
        <v>4</v>
      </c>
      <c r="K104" s="108">
        <v>32</v>
      </c>
      <c r="L104" s="108" t="s">
        <v>7</v>
      </c>
      <c r="M104" s="326"/>
      <c r="N104" s="120">
        <v>6</v>
      </c>
      <c r="O104" s="120">
        <v>8</v>
      </c>
      <c r="P104" s="108">
        <v>32</v>
      </c>
      <c r="Q104" s="109" t="s">
        <v>7</v>
      </c>
      <c r="S104" s="131" t="str">
        <f>IF(RIGHT(Q104,1)="L",360-MID(Q104,1,FIND("L",Q104,1)-1),MID(Q104,1,FIND("C",Q104,1)-1))</f>
        <v>79</v>
      </c>
      <c r="T104" s="108">
        <f>IF((S104+$AB$2)&gt;359,(S104+$AB$2)-360,S104+$AB$2)</f>
        <v>332</v>
      </c>
      <c r="U104" s="140">
        <v>0</v>
      </c>
      <c r="V104" s="140">
        <f>P104*COS(RADIANS(T104))</f>
        <v>28.25432297148566</v>
      </c>
      <c r="W104" s="145">
        <v>0</v>
      </c>
      <c r="X104" s="141">
        <f>P104*SIN(RADIANS(T104))</f>
        <v>-15.023090009148506</v>
      </c>
    </row>
    <row r="105">
      <c r="B105" s="103">
        <v>159</v>
      </c>
      <c r="C105" s="324"/>
      <c r="D105" s="326"/>
      <c r="E105" s="120" t="s">
        <v>256</v>
      </c>
      <c r="F105" s="326"/>
      <c r="G105" s="120">
        <v>5</v>
      </c>
      <c r="H105" s="108">
        <v>31</v>
      </c>
      <c r="I105" s="108" t="s">
        <v>118</v>
      </c>
      <c r="J105" s="120">
        <v>6</v>
      </c>
      <c r="K105" s="108">
        <v>31</v>
      </c>
      <c r="L105" s="108" t="s">
        <v>118</v>
      </c>
      <c r="M105" s="326"/>
      <c r="N105" s="120">
        <v>10</v>
      </c>
      <c r="O105" s="120">
        <v>12</v>
      </c>
      <c r="P105" s="108">
        <v>31</v>
      </c>
      <c r="Q105" s="109" t="s">
        <v>118</v>
      </c>
      <c r="S105" s="148">
        <f>IF(RIGHT(Q105,1)="L",360-MID(Q105,1,FIND("L",Q105,1)-1),MID(Q105,1,FIND("C",Q105,1)-1))</f>
        <v>317</v>
      </c>
      <c r="T105" s="110">
        <f>IF((S105+$AB$2)&gt;359,(S105+$AB$2)-360,S105+$AB$2)</f>
        <v>210</v>
      </c>
      <c r="U105" s="142">
        <v>0</v>
      </c>
      <c r="V105" s="142">
        <f>P105*COS(RADIANS(T105))</f>
        <v>-26.846787517317598</v>
      </c>
      <c r="W105" s="146">
        <v>0</v>
      </c>
      <c r="X105" s="143">
        <f>P105*SIN(RADIANS(T105))</f>
        <v>-15.500000000000004</v>
      </c>
    </row>
    <row r="106">
      <c r="B106" s="103">
        <v>160</v>
      </c>
      <c r="C106" s="325"/>
      <c r="D106" s="262"/>
      <c r="E106" s="121" t="s">
        <v>257</v>
      </c>
      <c r="F106" s="262"/>
      <c r="G106" s="121">
        <v>7</v>
      </c>
      <c r="H106" s="121">
        <v>0</v>
      </c>
      <c r="I106" s="110" t="s">
        <v>37</v>
      </c>
      <c r="J106" s="121">
        <v>8</v>
      </c>
      <c r="K106" s="121">
        <v>0</v>
      </c>
      <c r="L106" s="110" t="s">
        <v>37</v>
      </c>
      <c r="M106" s="342" t="s">
        <v>37</v>
      </c>
      <c r="N106" s="342"/>
      <c r="O106" s="342"/>
      <c r="P106" s="342"/>
      <c r="Q106" s="347"/>
    </row>
    <row r="107" ht="15" customHeight="1">
      <c r="B107" s="103">
        <v>219</v>
      </c>
      <c r="C107" s="323" t="s">
        <v>234</v>
      </c>
      <c r="D107" s="261" t="s">
        <v>252</v>
      </c>
      <c r="E107" s="106" t="s">
        <v>258</v>
      </c>
      <c r="F107" s="263" t="s">
        <v>105</v>
      </c>
      <c r="G107" s="106">
        <v>9</v>
      </c>
      <c r="H107" s="106">
        <v>0</v>
      </c>
      <c r="I107" s="106" t="s">
        <v>37</v>
      </c>
      <c r="J107" s="305" t="s">
        <v>37</v>
      </c>
      <c r="K107" s="306"/>
      <c r="L107" s="314"/>
      <c r="M107" s="303" t="s">
        <v>259</v>
      </c>
      <c r="N107" s="119">
        <v>2</v>
      </c>
      <c r="O107" s="119">
        <v>4</v>
      </c>
      <c r="P107" s="106">
        <v>0</v>
      </c>
      <c r="Q107" s="107" t="s">
        <v>37</v>
      </c>
    </row>
    <row r="108">
      <c r="B108" s="103">
        <v>220</v>
      </c>
      <c r="C108" s="325"/>
      <c r="D108" s="262"/>
      <c r="E108" s="110" t="s">
        <v>236</v>
      </c>
      <c r="F108" s="264"/>
      <c r="G108" s="110">
        <v>10</v>
      </c>
      <c r="H108" s="110">
        <v>0</v>
      </c>
      <c r="I108" s="110" t="s">
        <v>37</v>
      </c>
      <c r="J108" s="311"/>
      <c r="K108" s="312"/>
      <c r="L108" s="316"/>
      <c r="M108" s="304"/>
      <c r="N108" s="121">
        <v>2</v>
      </c>
      <c r="O108" s="121">
        <v>4</v>
      </c>
      <c r="P108" s="110">
        <v>0</v>
      </c>
      <c r="Q108" s="111" t="s">
        <v>37</v>
      </c>
      <c r="S108" s="130" t="s">
        <v>18</v>
      </c>
      <c r="T108" s="106" t="s">
        <v>23</v>
      </c>
      <c r="U108" s="405" t="s">
        <v>24</v>
      </c>
      <c r="V108" s="404"/>
      <c r="W108" s="405" t="s">
        <v>25</v>
      </c>
      <c r="X108" s="406"/>
    </row>
    <row r="109">
      <c r="B109" s="103">
        <v>125</v>
      </c>
      <c r="C109" s="323" t="s">
        <v>260</v>
      </c>
      <c r="D109" s="261" t="s">
        <v>261</v>
      </c>
      <c r="E109" s="106" t="s">
        <v>262</v>
      </c>
      <c r="F109" s="339" t="s">
        <v>263</v>
      </c>
      <c r="G109" s="119">
        <v>9</v>
      </c>
      <c r="H109" s="106">
        <v>11</v>
      </c>
      <c r="I109" s="106" t="s">
        <v>115</v>
      </c>
      <c r="J109" s="119">
        <v>10</v>
      </c>
      <c r="K109" s="106">
        <v>11</v>
      </c>
      <c r="L109" s="106" t="s">
        <v>115</v>
      </c>
      <c r="M109" s="261" t="s">
        <v>264</v>
      </c>
      <c r="N109" s="119">
        <v>2</v>
      </c>
      <c r="O109" s="119">
        <v>4</v>
      </c>
      <c r="P109" s="106">
        <v>11</v>
      </c>
      <c r="Q109" s="107" t="s">
        <v>115</v>
      </c>
      <c r="S109" s="131">
        <f>IF(RIGHT(Q109,1)="L",360-MID(Q109,1,FIND("L",Q109,1)-1),MID(Q109,1,FIND("C",Q109,1)-1))</f>
        <v>198</v>
      </c>
      <c r="T109" s="108">
        <f>IF((S109+$AB$2)&gt;359,(S109+$AB$2)-360,S109+$AB$2)</f>
        <v>91</v>
      </c>
      <c r="U109" s="138">
        <v>0</v>
      </c>
      <c r="V109" s="138">
        <f>P109*COS(RADIANS(T109))</f>
        <v>-0.19197647081011826</v>
      </c>
      <c r="W109" s="144">
        <v>0</v>
      </c>
      <c r="X109" s="139">
        <f>P109*SIN(RADIANS(T109))</f>
        <v>10.998324646720304</v>
      </c>
    </row>
    <row r="110">
      <c r="B110" s="103">
        <v>126</v>
      </c>
      <c r="C110" s="324"/>
      <c r="D110" s="326"/>
      <c r="E110" s="108" t="s">
        <v>265</v>
      </c>
      <c r="F110" s="340"/>
      <c r="G110" s="120">
        <v>11</v>
      </c>
      <c r="H110" s="108">
        <v>12</v>
      </c>
      <c r="I110" s="108" t="s">
        <v>116</v>
      </c>
      <c r="J110" s="120">
        <v>12</v>
      </c>
      <c r="K110" s="108">
        <v>12</v>
      </c>
      <c r="L110" s="108" t="s">
        <v>116</v>
      </c>
      <c r="M110" s="326"/>
      <c r="N110" s="120">
        <v>6</v>
      </c>
      <c r="O110" s="120">
        <v>8</v>
      </c>
      <c r="P110" s="108">
        <v>12</v>
      </c>
      <c r="Q110" s="109" t="s">
        <v>116</v>
      </c>
      <c r="S110" s="131" t="str">
        <f>IF(RIGHT(Q110,1)="L",360-MID(Q110,1,FIND("L",Q110,1)-1),MID(Q110,1,FIND("C",Q110,1)-1))</f>
        <v>77</v>
      </c>
      <c r="T110" s="108">
        <f>IF((S110+$AB$2)&gt;359,(S110+$AB$2)-360,S110+$AB$2)</f>
        <v>330</v>
      </c>
      <c r="U110" s="140">
        <v>0</v>
      </c>
      <c r="V110" s="140">
        <f>P110*COS(RADIANS(T110))</f>
        <v>10.39230484541326</v>
      </c>
      <c r="W110" s="145">
        <v>0</v>
      </c>
      <c r="X110" s="141">
        <f>P110*SIN(RADIANS(T110))</f>
        <v>-6.000000000000005</v>
      </c>
    </row>
    <row r="111" ht="15" customHeight="1">
      <c r="B111" s="103">
        <v>127</v>
      </c>
      <c r="C111" s="324"/>
      <c r="D111" s="326"/>
      <c r="E111" s="120" t="s">
        <v>266</v>
      </c>
      <c r="F111" s="340"/>
      <c r="G111" s="120">
        <v>13</v>
      </c>
      <c r="H111" s="108">
        <v>12</v>
      </c>
      <c r="I111" s="108" t="s">
        <v>8</v>
      </c>
      <c r="J111" s="120">
        <v>14</v>
      </c>
      <c r="K111" s="108">
        <v>13</v>
      </c>
      <c r="L111" s="108" t="s">
        <v>8</v>
      </c>
      <c r="M111" s="326"/>
      <c r="N111" s="120">
        <v>10</v>
      </c>
      <c r="O111" s="120">
        <v>12</v>
      </c>
      <c r="P111" s="108">
        <v>12</v>
      </c>
      <c r="Q111" s="109" t="s">
        <v>8</v>
      </c>
      <c r="S111" s="148">
        <f>IF(RIGHT(Q111,1)="L",360-MID(Q111,1,FIND("L",Q111,1)-1),MID(Q111,1,FIND("C",Q111,1)-1))</f>
        <v>315</v>
      </c>
      <c r="T111" s="110">
        <f>IF((S111+$AB$2)&gt;359,(S111+$AB$2)-360,S111+$AB$2)</f>
        <v>208</v>
      </c>
      <c r="U111" s="142">
        <v>0</v>
      </c>
      <c r="V111" s="142">
        <f>P111*COS(RADIANS(T111))</f>
        <v>-10.595371114307122</v>
      </c>
      <c r="W111" s="146">
        <v>0</v>
      </c>
      <c r="X111" s="143">
        <f>P111*SIN(RADIANS(T111))</f>
        <v>-5.633658753430691</v>
      </c>
    </row>
    <row r="112">
      <c r="B112" s="103">
        <v>128</v>
      </c>
      <c r="C112" s="325"/>
      <c r="D112" s="262"/>
      <c r="E112" s="121" t="s">
        <v>267</v>
      </c>
      <c r="F112" s="342"/>
      <c r="G112" s="121">
        <v>14</v>
      </c>
      <c r="H112" s="121"/>
      <c r="I112" s="110"/>
      <c r="J112" s="110"/>
      <c r="K112" s="110"/>
      <c r="L112" s="110"/>
      <c r="M112" s="262"/>
      <c r="N112" s="342" t="s">
        <v>37</v>
      </c>
      <c r="O112" s="342"/>
      <c r="P112" s="342"/>
      <c r="Q112" s="347"/>
      <c r="S112" s="130" t="s">
        <v>18</v>
      </c>
      <c r="T112" s="106" t="s">
        <v>23</v>
      </c>
      <c r="U112" s="405" t="s">
        <v>24</v>
      </c>
      <c r="V112" s="404"/>
      <c r="W112" s="405" t="s">
        <v>25</v>
      </c>
      <c r="X112" s="406"/>
    </row>
    <row r="113">
      <c r="B113" s="103">
        <v>141</v>
      </c>
      <c r="C113" s="394" t="s">
        <v>268</v>
      </c>
      <c r="D113" s="286" t="s">
        <v>261</v>
      </c>
      <c r="E113" s="122" t="s">
        <v>269</v>
      </c>
      <c r="F113" s="348" t="s">
        <v>105</v>
      </c>
      <c r="G113" s="122">
        <v>1</v>
      </c>
      <c r="H113" s="122">
        <v>11</v>
      </c>
      <c r="I113" s="122" t="s">
        <v>122</v>
      </c>
      <c r="J113" s="122">
        <v>5</v>
      </c>
      <c r="K113" s="122">
        <v>11</v>
      </c>
      <c r="L113" s="122" t="s">
        <v>122</v>
      </c>
      <c r="M113" s="286" t="s">
        <v>270</v>
      </c>
      <c r="N113" s="122">
        <v>2</v>
      </c>
      <c r="O113" s="122">
        <v>4</v>
      </c>
      <c r="P113" s="122">
        <v>11</v>
      </c>
      <c r="Q113" s="134" t="s">
        <v>122</v>
      </c>
      <c r="S113" s="131">
        <f>IF(RIGHT(Q113,1)="L",360-MID(Q113,1,FIND("L",Q113,1)-1),MID(Q113,1,FIND("C",Q113,1)-1))</f>
        <v>195</v>
      </c>
      <c r="T113" s="108">
        <f>IF((S113+$AB$2)&gt;359,(S113+$AB$2)-360,S113+$AB$2)</f>
        <v>88</v>
      </c>
      <c r="U113" s="138">
        <v>0</v>
      </c>
      <c r="V113" s="138">
        <f>P113*COS(RADIANS(T113))</f>
        <v>0.3838944637275119</v>
      </c>
      <c r="W113" s="144">
        <v>0</v>
      </c>
      <c r="X113" s="139">
        <f>P113*SIN(RADIANS(T113))</f>
        <v>10.993299097210054</v>
      </c>
    </row>
    <row r="114">
      <c r="B114" s="103">
        <v>142</v>
      </c>
      <c r="C114" s="395"/>
      <c r="D114" s="287"/>
      <c r="E114" s="123" t="s">
        <v>271</v>
      </c>
      <c r="F114" s="349"/>
      <c r="G114" s="123">
        <v>2</v>
      </c>
      <c r="H114" s="123">
        <v>12</v>
      </c>
      <c r="I114" s="123" t="s">
        <v>116</v>
      </c>
      <c r="J114" s="123">
        <v>6</v>
      </c>
      <c r="K114" s="123">
        <v>12</v>
      </c>
      <c r="L114" s="123" t="s">
        <v>116</v>
      </c>
      <c r="M114" s="287"/>
      <c r="N114" s="123">
        <v>6</v>
      </c>
      <c r="O114" s="123">
        <v>8</v>
      </c>
      <c r="P114" s="123">
        <v>12</v>
      </c>
      <c r="Q114" s="135" t="s">
        <v>116</v>
      </c>
      <c r="S114" s="131" t="str">
        <f>IF(RIGHT(Q114,1)="L",360-MID(Q114,1,FIND("L",Q114,1)-1),MID(Q114,1,FIND("C",Q114,1)-1))</f>
        <v>77</v>
      </c>
      <c r="T114" s="108">
        <f>IF((S114+$AB$2)&gt;359,(S114+$AB$2)-360,S114+$AB$2)</f>
        <v>330</v>
      </c>
      <c r="U114" s="140">
        <v>0</v>
      </c>
      <c r="V114" s="140">
        <f>P114*COS(RADIANS(T114))</f>
        <v>10.39230484541326</v>
      </c>
      <c r="W114" s="145">
        <v>0</v>
      </c>
      <c r="X114" s="141">
        <f>P114*SIN(RADIANS(T114))</f>
        <v>-6.000000000000005</v>
      </c>
    </row>
    <row r="115">
      <c r="B115" s="103">
        <v>143</v>
      </c>
      <c r="C115" s="395"/>
      <c r="D115" s="287"/>
      <c r="E115" s="123" t="s">
        <v>272</v>
      </c>
      <c r="F115" s="349"/>
      <c r="G115" s="123">
        <v>3</v>
      </c>
      <c r="H115" s="123">
        <v>12</v>
      </c>
      <c r="I115" s="123" t="s">
        <v>8</v>
      </c>
      <c r="J115" s="123">
        <v>7</v>
      </c>
      <c r="K115" s="123">
        <v>12</v>
      </c>
      <c r="L115" s="123" t="s">
        <v>8</v>
      </c>
      <c r="M115" s="287"/>
      <c r="N115" s="123">
        <v>10</v>
      </c>
      <c r="O115" s="123">
        <v>12</v>
      </c>
      <c r="P115" s="123">
        <v>12</v>
      </c>
      <c r="Q115" s="135" t="s">
        <v>135</v>
      </c>
      <c r="S115" s="148">
        <f>IF(RIGHT(Q115,1)="L",360-MID(Q115,1,FIND("L",Q115,1)-1),MID(Q115,1,FIND("C",Q115,1)-1))</f>
        <v>316</v>
      </c>
      <c r="T115" s="110">
        <f>IF((S115+$AB$2)&gt;359,(S115+$AB$2)-360,S115+$AB$2)</f>
        <v>209</v>
      </c>
      <c r="U115" s="142">
        <v>0</v>
      </c>
      <c r="V115" s="142">
        <f>P115*COS(RADIANS(T115))</f>
        <v>-10.49543648567275</v>
      </c>
      <c r="W115" s="146">
        <v>0</v>
      </c>
      <c r="X115" s="143">
        <f>P115*SIN(RADIANS(T115))</f>
        <v>-5.817715442956043</v>
      </c>
    </row>
    <row r="116">
      <c r="B116" s="103">
        <v>144</v>
      </c>
      <c r="C116" s="396"/>
      <c r="D116" s="288"/>
      <c r="E116" s="124" t="s">
        <v>273</v>
      </c>
      <c r="F116" s="350"/>
      <c r="G116" s="124">
        <v>9</v>
      </c>
      <c r="H116" s="124">
        <v>0</v>
      </c>
      <c r="I116" s="124" t="s">
        <v>37</v>
      </c>
      <c r="J116" s="124">
        <v>10</v>
      </c>
      <c r="K116" s="124">
        <v>0</v>
      </c>
      <c r="L116" s="124" t="s">
        <v>37</v>
      </c>
      <c r="M116" s="288"/>
      <c r="N116" s="350" t="s">
        <v>37</v>
      </c>
      <c r="O116" s="350"/>
      <c r="P116" s="350"/>
      <c r="Q116" s="353"/>
      <c r="S116" s="130" t="s">
        <v>18</v>
      </c>
      <c r="T116" s="106" t="s">
        <v>23</v>
      </c>
      <c r="U116" s="405" t="s">
        <v>24</v>
      </c>
      <c r="V116" s="404"/>
      <c r="W116" s="405" t="s">
        <v>25</v>
      </c>
      <c r="X116" s="406"/>
    </row>
    <row r="117">
      <c r="B117" s="103">
        <v>121</v>
      </c>
      <c r="C117" s="323" t="s">
        <v>260</v>
      </c>
      <c r="D117" s="261" t="s">
        <v>274</v>
      </c>
      <c r="E117" s="106" t="s">
        <v>275</v>
      </c>
      <c r="F117" s="261" t="s">
        <v>276</v>
      </c>
      <c r="G117" s="119">
        <v>46</v>
      </c>
      <c r="H117" s="106">
        <v>11</v>
      </c>
      <c r="I117" s="106" t="s">
        <v>115</v>
      </c>
      <c r="J117" s="119">
        <v>47</v>
      </c>
      <c r="K117" s="106">
        <v>11</v>
      </c>
      <c r="L117" s="106" t="s">
        <v>6</v>
      </c>
      <c r="M117" s="261" t="s">
        <v>277</v>
      </c>
      <c r="N117" s="119">
        <v>2</v>
      </c>
      <c r="O117" s="119">
        <v>4</v>
      </c>
      <c r="P117" s="106">
        <v>11</v>
      </c>
      <c r="Q117" s="107" t="s">
        <v>6</v>
      </c>
      <c r="S117" s="131">
        <f>IF(RIGHT(Q117,1)="L",360-MID(Q117,1,FIND("L",Q117,1)-1),MID(Q117,1,FIND("C",Q117,1)-1))</f>
        <v>197</v>
      </c>
      <c r="T117" s="108">
        <f>IF((S117+$AB$2)&gt;359,(S117+$AB$2)-360,S117+$AB$2)</f>
        <v>90</v>
      </c>
      <c r="U117" s="138">
        <v>0</v>
      </c>
      <c r="V117" s="138">
        <f>P117*COS(RADIANS(T117))</f>
        <v>6.73831650199741E-16</v>
      </c>
      <c r="W117" s="144">
        <v>0</v>
      </c>
      <c r="X117" s="139">
        <f>P117*SIN(RADIANS(T117))</f>
        <v>11</v>
      </c>
    </row>
    <row r="118">
      <c r="B118" s="103">
        <v>122</v>
      </c>
      <c r="C118" s="324"/>
      <c r="D118" s="326"/>
      <c r="E118" s="108" t="s">
        <v>278</v>
      </c>
      <c r="F118" s="326"/>
      <c r="G118" s="120">
        <v>49</v>
      </c>
      <c r="H118" s="108">
        <v>12</v>
      </c>
      <c r="I118" s="108" t="s">
        <v>116</v>
      </c>
      <c r="J118" s="120">
        <v>50</v>
      </c>
      <c r="K118" s="108">
        <v>12</v>
      </c>
      <c r="L118" s="108" t="s">
        <v>133</v>
      </c>
      <c r="M118" s="326"/>
      <c r="N118" s="120">
        <v>6</v>
      </c>
      <c r="O118" s="120">
        <v>8</v>
      </c>
      <c r="P118" s="108">
        <v>12</v>
      </c>
      <c r="Q118" s="109" t="s">
        <v>116</v>
      </c>
      <c r="S118" s="131" t="str">
        <f>IF(RIGHT(Q118,1)="L",360-MID(Q118,1,FIND("L",Q118,1)-1),MID(Q118,1,FIND("C",Q118,1)-1))</f>
        <v>77</v>
      </c>
      <c r="T118" s="108">
        <f>IF((S118+$AB$2)&gt;359,(S118+$AB$2)-360,S118+$AB$2)</f>
        <v>330</v>
      </c>
      <c r="U118" s="140">
        <v>0</v>
      </c>
      <c r="V118" s="140">
        <f>P118*COS(RADIANS(T118))</f>
        <v>10.39230484541326</v>
      </c>
      <c r="W118" s="145">
        <v>0</v>
      </c>
      <c r="X118" s="141">
        <f>P118*SIN(RADIANS(T118))</f>
        <v>-6.000000000000005</v>
      </c>
    </row>
    <row r="119" ht="15" customHeight="1">
      <c r="B119" s="103">
        <v>123</v>
      </c>
      <c r="C119" s="324"/>
      <c r="D119" s="326"/>
      <c r="E119" s="120" t="s">
        <v>279</v>
      </c>
      <c r="F119" s="326"/>
      <c r="G119" s="120">
        <v>52</v>
      </c>
      <c r="H119" s="108">
        <v>12</v>
      </c>
      <c r="I119" s="108" t="s">
        <v>8</v>
      </c>
      <c r="J119" s="120">
        <v>53</v>
      </c>
      <c r="K119" s="108">
        <v>12</v>
      </c>
      <c r="L119" s="108" t="s">
        <v>8</v>
      </c>
      <c r="M119" s="326"/>
      <c r="N119" s="120">
        <v>10</v>
      </c>
      <c r="O119" s="120">
        <v>12</v>
      </c>
      <c r="P119" s="108">
        <v>12</v>
      </c>
      <c r="Q119" s="109" t="s">
        <v>8</v>
      </c>
      <c r="S119" s="148">
        <f>IF(RIGHT(Q119,1)="L",360-MID(Q119,1,FIND("L",Q119,1)-1),MID(Q119,1,FIND("C",Q119,1)-1))</f>
        <v>315</v>
      </c>
      <c r="T119" s="110">
        <f>IF((S119+$AB$2)&gt;359,(S119+$AB$2)-360,S119+$AB$2)</f>
        <v>208</v>
      </c>
      <c r="U119" s="142">
        <v>0</v>
      </c>
      <c r="V119" s="142">
        <f>P119*COS(RADIANS(T119))</f>
        <v>-10.595371114307122</v>
      </c>
      <c r="W119" s="146">
        <v>0</v>
      </c>
      <c r="X119" s="143">
        <f>P119*SIN(RADIANS(T119))</f>
        <v>-5.633658753430691</v>
      </c>
    </row>
    <row r="120">
      <c r="B120" s="103">
        <v>124</v>
      </c>
      <c r="C120" s="325"/>
      <c r="D120" s="262"/>
      <c r="E120" s="121" t="s">
        <v>280</v>
      </c>
      <c r="F120" s="262"/>
      <c r="G120" s="121">
        <v>58</v>
      </c>
      <c r="H120" s="110">
        <v>0</v>
      </c>
      <c r="I120" s="110"/>
      <c r="J120" s="121">
        <v>58</v>
      </c>
      <c r="K120" s="110"/>
      <c r="L120" s="110"/>
      <c r="M120" s="262"/>
      <c r="N120" s="342" t="s">
        <v>37</v>
      </c>
      <c r="O120" s="342"/>
      <c r="P120" s="342"/>
      <c r="Q120" s="347"/>
      <c r="S120" s="130" t="s">
        <v>18</v>
      </c>
      <c r="T120" s="106" t="s">
        <v>23</v>
      </c>
      <c r="U120" s="405" t="s">
        <v>24</v>
      </c>
      <c r="V120" s="404"/>
      <c r="W120" s="405" t="s">
        <v>25</v>
      </c>
      <c r="X120" s="406"/>
    </row>
    <row r="121">
      <c r="B121" s="103">
        <v>137</v>
      </c>
      <c r="C121" s="394" t="s">
        <v>268</v>
      </c>
      <c r="D121" s="286" t="s">
        <v>274</v>
      </c>
      <c r="E121" s="122" t="s">
        <v>281</v>
      </c>
      <c r="F121" s="286" t="s">
        <v>282</v>
      </c>
      <c r="G121" s="122">
        <v>64</v>
      </c>
      <c r="H121" s="122">
        <v>11</v>
      </c>
      <c r="I121" s="122" t="s">
        <v>131</v>
      </c>
      <c r="J121" s="122">
        <v>77</v>
      </c>
      <c r="K121" s="122">
        <v>11</v>
      </c>
      <c r="L121" s="122" t="s">
        <v>283</v>
      </c>
      <c r="M121" s="286" t="s">
        <v>284</v>
      </c>
      <c r="N121" s="122">
        <v>2</v>
      </c>
      <c r="O121" s="122">
        <v>4</v>
      </c>
      <c r="P121" s="122">
        <v>11</v>
      </c>
      <c r="Q121" s="134" t="s">
        <v>122</v>
      </c>
      <c r="S121" s="131">
        <f>IF(RIGHT(Q121,1)="L",360-MID(Q121,1,FIND("L",Q121,1)-1),MID(Q121,1,FIND("C",Q121,1)-1))</f>
        <v>195</v>
      </c>
      <c r="T121" s="108">
        <f>IF((S121+$AB$2)&gt;359,(S121+$AB$2)-360,S121+$AB$2)</f>
        <v>88</v>
      </c>
      <c r="U121" s="138">
        <v>0</v>
      </c>
      <c r="V121" s="138">
        <f>P121*COS(RADIANS(T121))</f>
        <v>0.3838944637275119</v>
      </c>
      <c r="W121" s="144">
        <v>0</v>
      </c>
      <c r="X121" s="139">
        <f>P121*SIN(RADIANS(T121))</f>
        <v>10.993299097210054</v>
      </c>
    </row>
    <row r="122">
      <c r="B122" s="103">
        <v>138</v>
      </c>
      <c r="C122" s="395"/>
      <c r="D122" s="287"/>
      <c r="E122" s="123" t="s">
        <v>285</v>
      </c>
      <c r="F122" s="287"/>
      <c r="G122" s="123">
        <v>65</v>
      </c>
      <c r="H122" s="123">
        <v>12</v>
      </c>
      <c r="I122" s="123" t="s">
        <v>116</v>
      </c>
      <c r="J122" s="123">
        <v>78</v>
      </c>
      <c r="K122" s="123">
        <v>12</v>
      </c>
      <c r="L122" s="123" t="s">
        <v>116</v>
      </c>
      <c r="M122" s="287"/>
      <c r="N122" s="123">
        <v>6</v>
      </c>
      <c r="O122" s="123">
        <v>8</v>
      </c>
      <c r="P122" s="123">
        <v>12</v>
      </c>
      <c r="Q122" s="135" t="s">
        <v>116</v>
      </c>
      <c r="S122" s="131" t="str">
        <f>IF(RIGHT(Q122,1)="L",360-MID(Q122,1,FIND("L",Q122,1)-1),MID(Q122,1,FIND("C",Q122,1)-1))</f>
        <v>77</v>
      </c>
      <c r="T122" s="108">
        <f>IF((S122+$AB$2)&gt;359,(S122+$AB$2)-360,S122+$AB$2)</f>
        <v>330</v>
      </c>
      <c r="U122" s="140">
        <v>0</v>
      </c>
      <c r="V122" s="140">
        <f>P122*COS(RADIANS(T122))</f>
        <v>10.39230484541326</v>
      </c>
      <c r="W122" s="145">
        <v>0</v>
      </c>
      <c r="X122" s="141">
        <f>P122*SIN(RADIANS(T122))</f>
        <v>-6.000000000000005</v>
      </c>
    </row>
    <row r="123">
      <c r="B123" s="103">
        <v>139</v>
      </c>
      <c r="C123" s="395"/>
      <c r="D123" s="287"/>
      <c r="E123" s="123" t="s">
        <v>286</v>
      </c>
      <c r="F123" s="287"/>
      <c r="G123" s="123">
        <v>66</v>
      </c>
      <c r="H123" s="123">
        <v>12</v>
      </c>
      <c r="I123" s="123" t="s">
        <v>8</v>
      </c>
      <c r="J123" s="123">
        <v>79</v>
      </c>
      <c r="K123" s="123">
        <v>12</v>
      </c>
      <c r="L123" s="123" t="s">
        <v>153</v>
      </c>
      <c r="M123" s="287"/>
      <c r="N123" s="123">
        <v>10</v>
      </c>
      <c r="O123" s="123">
        <v>12</v>
      </c>
      <c r="P123" s="123">
        <v>12</v>
      </c>
      <c r="Q123" s="135" t="s">
        <v>153</v>
      </c>
      <c r="S123" s="148">
        <f>IF(RIGHT(Q123,1)="L",360-MID(Q123,1,FIND("L",Q123,1)-1),MID(Q123,1,FIND("C",Q123,1)-1))</f>
        <v>320</v>
      </c>
      <c r="T123" s="110">
        <f>IF((S123+$AB$2)&gt;359,(S123+$AB$2)-360,S123+$AB$2)</f>
        <v>213</v>
      </c>
      <c r="U123" s="142">
        <v>0</v>
      </c>
      <c r="V123" s="142">
        <f>P123*COS(RADIANS(T123))</f>
        <v>-10.064046815345089</v>
      </c>
      <c r="W123" s="146">
        <v>0</v>
      </c>
      <c r="X123" s="143">
        <f>P123*SIN(RADIANS(T123))</f>
        <v>-6.5356684201803255</v>
      </c>
    </row>
    <row r="124">
      <c r="B124" s="103">
        <v>140</v>
      </c>
      <c r="C124" s="396"/>
      <c r="D124" s="288"/>
      <c r="E124" s="124" t="s">
        <v>273</v>
      </c>
      <c r="F124" s="288"/>
      <c r="G124" s="124">
        <v>67</v>
      </c>
      <c r="H124" s="124">
        <v>0</v>
      </c>
      <c r="I124" s="124" t="s">
        <v>37</v>
      </c>
      <c r="J124" s="124">
        <v>67</v>
      </c>
      <c r="K124" s="124">
        <v>0</v>
      </c>
      <c r="L124" s="124" t="s">
        <v>37</v>
      </c>
      <c r="M124" s="288"/>
      <c r="N124" s="350" t="s">
        <v>37</v>
      </c>
      <c r="O124" s="350"/>
      <c r="P124" s="350"/>
      <c r="Q124" s="353"/>
      <c r="S124" s="130" t="s">
        <v>18</v>
      </c>
      <c r="T124" s="106" t="s">
        <v>23</v>
      </c>
      <c r="U124" s="405" t="s">
        <v>24</v>
      </c>
      <c r="V124" s="404"/>
      <c r="W124" s="405" t="s">
        <v>25</v>
      </c>
      <c r="X124" s="406"/>
    </row>
    <row r="125" ht="30">
      <c r="B125" s="103">
        <v>145</v>
      </c>
      <c r="C125" s="394" t="s">
        <v>268</v>
      </c>
      <c r="D125" s="286" t="s">
        <v>287</v>
      </c>
      <c r="E125" s="122" t="s">
        <v>288</v>
      </c>
      <c r="F125" s="348">
        <v>2</v>
      </c>
      <c r="G125" s="122">
        <v>1</v>
      </c>
      <c r="H125" s="122">
        <v>11</v>
      </c>
      <c r="I125" s="113" t="s">
        <v>6</v>
      </c>
      <c r="J125" s="348" t="s">
        <v>37</v>
      </c>
      <c r="K125" s="348"/>
      <c r="L125" s="348"/>
      <c r="M125" s="348" t="s">
        <v>97</v>
      </c>
      <c r="N125" s="348"/>
      <c r="O125" s="348"/>
      <c r="P125" s="348"/>
      <c r="Q125" s="351"/>
      <c r="S125" s="131">
        <f>IF(RIGHT(I125,1)="L",360-MID(I125,1,FIND("L",I125,1)-1),MID(I125,1,FIND("C",I125,1)-1))</f>
        <v>197</v>
      </c>
      <c r="T125" s="108">
        <f>IF((S125+$AB$2)&gt;359,(S125+$AB$2)-360,S125+$AB$2)</f>
        <v>90</v>
      </c>
      <c r="U125" s="138">
        <v>0</v>
      </c>
      <c r="V125" s="138">
        <f>H125*COS(RADIANS(T125))</f>
        <v>6.73831650199741E-16</v>
      </c>
      <c r="W125" s="144">
        <v>0</v>
      </c>
      <c r="X125" s="139">
        <f>H125*SIN(RADIANS(T125))</f>
        <v>11</v>
      </c>
    </row>
    <row r="126">
      <c r="B126" s="103">
        <v>146</v>
      </c>
      <c r="C126" s="395"/>
      <c r="D126" s="287"/>
      <c r="E126" s="123" t="s">
        <v>289</v>
      </c>
      <c r="F126" s="349"/>
      <c r="G126" s="123">
        <v>4</v>
      </c>
      <c r="H126" s="123">
        <v>12</v>
      </c>
      <c r="I126" s="114" t="s">
        <v>133</v>
      </c>
      <c r="J126" s="349"/>
      <c r="K126" s="349"/>
      <c r="L126" s="349"/>
      <c r="M126" s="349"/>
      <c r="N126" s="349"/>
      <c r="O126" s="349"/>
      <c r="P126" s="349"/>
      <c r="Q126" s="352"/>
      <c r="S126" s="131" t="str">
        <f>IF(RIGHT(I126,1)="L",360-MID(I126,1,FIND("L",I126,1)-1),MID(I126,1,FIND("C",I126,1)-1))</f>
        <v>78</v>
      </c>
      <c r="T126" s="108">
        <f>IF((S126+$AB$2)&gt;359,(S126+$AB$2)-360,S126+$AB$2)</f>
        <v>331</v>
      </c>
      <c r="U126" s="140">
        <v>0</v>
      </c>
      <c r="V126" s="140">
        <f>H126*COS(RADIANS(T126))</f>
        <v>10.49543648567275</v>
      </c>
      <c r="W126" s="145">
        <v>0</v>
      </c>
      <c r="X126" s="141">
        <f>H126*SIN(RADIANS(T126))</f>
        <v>-5.817715442956043</v>
      </c>
    </row>
    <row r="127" ht="15" customHeight="1">
      <c r="B127" s="103">
        <v>147</v>
      </c>
      <c r="C127" s="395"/>
      <c r="D127" s="287"/>
      <c r="E127" s="123" t="s">
        <v>290</v>
      </c>
      <c r="F127" s="349"/>
      <c r="G127" s="123">
        <v>7</v>
      </c>
      <c r="H127" s="123">
        <v>12</v>
      </c>
      <c r="I127" s="114" t="s">
        <v>8</v>
      </c>
      <c r="J127" s="349"/>
      <c r="K127" s="349"/>
      <c r="L127" s="349"/>
      <c r="M127" s="349"/>
      <c r="N127" s="349"/>
      <c r="O127" s="349"/>
      <c r="P127" s="349"/>
      <c r="Q127" s="352"/>
      <c r="S127" s="148">
        <f>IF(RIGHT(I127,1)="L",360-MID(I127,1,FIND("L",I127,1)-1),MID(I127,1,FIND("C",I127,1)-1))</f>
        <v>315</v>
      </c>
      <c r="T127" s="110">
        <f>IF((S127+$AB$2)&gt;359,(S127+$AB$2)-360,S127+$AB$2)</f>
        <v>208</v>
      </c>
      <c r="U127" s="142">
        <v>0</v>
      </c>
      <c r="V127" s="142">
        <f>H127*COS(RADIANS(T127))</f>
        <v>-10.595371114307122</v>
      </c>
      <c r="W127" s="146">
        <v>0</v>
      </c>
      <c r="X127" s="143">
        <f>H127*SIN(RADIANS(T127))</f>
        <v>-5.633658753430691</v>
      </c>
    </row>
    <row r="128">
      <c r="B128" s="103">
        <v>148</v>
      </c>
      <c r="C128" s="396"/>
      <c r="D128" s="288"/>
      <c r="E128" s="124" t="s">
        <v>273</v>
      </c>
      <c r="F128" s="350"/>
      <c r="G128" s="124">
        <v>6</v>
      </c>
      <c r="H128" s="124">
        <v>0</v>
      </c>
      <c r="I128" s="115" t="s">
        <v>37</v>
      </c>
      <c r="J128" s="350"/>
      <c r="K128" s="350"/>
      <c r="L128" s="350"/>
      <c r="M128" s="350"/>
      <c r="N128" s="350"/>
      <c r="O128" s="350"/>
      <c r="P128" s="350"/>
      <c r="Q128" s="353"/>
      <c r="S128" s="130" t="s">
        <v>18</v>
      </c>
      <c r="T128" s="106" t="s">
        <v>23</v>
      </c>
      <c r="U128" s="405" t="s">
        <v>24</v>
      </c>
      <c r="V128" s="404"/>
      <c r="W128" s="405" t="s">
        <v>25</v>
      </c>
      <c r="X128" s="406"/>
    </row>
    <row r="129">
      <c r="B129" s="103">
        <v>69</v>
      </c>
      <c r="C129" s="323" t="s">
        <v>291</v>
      </c>
      <c r="D129" s="261" t="s">
        <v>292</v>
      </c>
      <c r="E129" s="106" t="s">
        <v>293</v>
      </c>
      <c r="F129" s="303" t="s">
        <v>294</v>
      </c>
      <c r="G129" s="119"/>
      <c r="H129" s="119"/>
      <c r="I129" s="106"/>
      <c r="J129" s="119"/>
      <c r="K129" s="119"/>
      <c r="L129" s="147"/>
      <c r="M129" s="261"/>
      <c r="N129" s="119">
        <v>2</v>
      </c>
      <c r="O129" s="119">
        <v>4</v>
      </c>
      <c r="P129" s="106">
        <v>11</v>
      </c>
      <c r="Q129" s="107" t="s">
        <v>115</v>
      </c>
      <c r="S129" s="131">
        <f>IF(RIGHT(Q129,1)="L",360-MID(Q129,1,FIND("L",Q129,1)-1),MID(Q129,1,FIND("C",Q129,1)-1))</f>
        <v>198</v>
      </c>
      <c r="T129" s="108">
        <f>IF((S129+$AB$2)&gt;359,(S129+$AB$2)-360,S129+$AB$2)</f>
        <v>91</v>
      </c>
      <c r="U129" s="138">
        <v>0</v>
      </c>
      <c r="V129" s="138">
        <f>P129*COS(RADIANS(T129))</f>
        <v>-0.19197647081011826</v>
      </c>
      <c r="W129" s="144">
        <v>0</v>
      </c>
      <c r="X129" s="139">
        <f>P129*SIN(RADIANS(T129))</f>
        <v>10.998324646720304</v>
      </c>
    </row>
    <row r="130">
      <c r="B130" s="103">
        <v>70</v>
      </c>
      <c r="C130" s="324"/>
      <c r="D130" s="326"/>
      <c r="E130" s="108" t="s">
        <v>295</v>
      </c>
      <c r="F130" s="317"/>
      <c r="G130" s="120"/>
      <c r="H130" s="120"/>
      <c r="I130" s="108"/>
      <c r="J130" s="120"/>
      <c r="K130" s="120"/>
      <c r="L130" s="82"/>
      <c r="M130" s="326"/>
      <c r="N130" s="120">
        <v>6</v>
      </c>
      <c r="O130" s="120">
        <v>8</v>
      </c>
      <c r="P130" s="108">
        <v>12</v>
      </c>
      <c r="Q130" s="109" t="s">
        <v>116</v>
      </c>
      <c r="S130" s="131" t="str">
        <f>IF(RIGHT(Q130,1)="L",360-MID(Q130,1,FIND("L",Q130,1)-1),MID(Q130,1,FIND("C",Q130,1)-1))</f>
        <v>77</v>
      </c>
      <c r="T130" s="108">
        <f>IF((S130+$AB$2)&gt;359,(S130+$AB$2)-360,S130+$AB$2)</f>
        <v>330</v>
      </c>
      <c r="U130" s="140">
        <v>0</v>
      </c>
      <c r="V130" s="140">
        <f>P130*COS(RADIANS(T130))</f>
        <v>10.39230484541326</v>
      </c>
      <c r="W130" s="145">
        <v>0</v>
      </c>
      <c r="X130" s="141">
        <f>P130*SIN(RADIANS(T130))</f>
        <v>-6.000000000000005</v>
      </c>
    </row>
    <row r="131" ht="15" customHeight="1">
      <c r="B131" s="103">
        <v>71</v>
      </c>
      <c r="C131" s="324"/>
      <c r="D131" s="326"/>
      <c r="E131" s="120" t="s">
        <v>296</v>
      </c>
      <c r="F131" s="317"/>
      <c r="G131" s="120"/>
      <c r="H131" s="120"/>
      <c r="I131" s="108"/>
      <c r="J131" s="120"/>
      <c r="K131" s="120"/>
      <c r="L131" s="82"/>
      <c r="M131" s="326"/>
      <c r="N131" s="120">
        <v>10</v>
      </c>
      <c r="O131" s="120">
        <v>12</v>
      </c>
      <c r="P131" s="108">
        <v>12</v>
      </c>
      <c r="Q131" s="109" t="s">
        <v>8</v>
      </c>
      <c r="S131" s="148">
        <f>IF(RIGHT(Q131,1)="L",360-MID(Q131,1,FIND("L",Q131,1)-1),MID(Q131,1,FIND("C",Q131,1)-1))</f>
        <v>315</v>
      </c>
      <c r="T131" s="110">
        <f>IF((S131+$AB$2)&gt;359,(S131+$AB$2)-360,S131+$AB$2)</f>
        <v>208</v>
      </c>
      <c r="U131" s="142">
        <v>0</v>
      </c>
      <c r="V131" s="142">
        <f>P131*COS(RADIANS(T131))</f>
        <v>-10.595371114307122</v>
      </c>
      <c r="W131" s="146">
        <v>0</v>
      </c>
      <c r="X131" s="143">
        <f>P131*SIN(RADIANS(T131))</f>
        <v>-5.633658753430691</v>
      </c>
    </row>
    <row r="132">
      <c r="B132" s="103">
        <v>72</v>
      </c>
      <c r="C132" s="325"/>
      <c r="D132" s="262"/>
      <c r="E132" s="121" t="s">
        <v>297</v>
      </c>
      <c r="F132" s="304"/>
      <c r="G132" s="121"/>
      <c r="H132" s="121"/>
      <c r="I132" s="110"/>
      <c r="J132" s="110"/>
      <c r="K132" s="110"/>
      <c r="L132" s="137"/>
      <c r="M132" s="262"/>
      <c r="N132" s="342" t="s">
        <v>37</v>
      </c>
      <c r="O132" s="342"/>
      <c r="P132" s="342"/>
      <c r="Q132" s="347"/>
      <c r="S132" s="130" t="s">
        <v>18</v>
      </c>
      <c r="T132" s="106" t="s">
        <v>23</v>
      </c>
      <c r="U132" s="405" t="s">
        <v>24</v>
      </c>
      <c r="V132" s="404"/>
      <c r="W132" s="405" t="s">
        <v>25</v>
      </c>
      <c r="X132" s="406"/>
    </row>
    <row r="133">
      <c r="B133" s="103">
        <v>77</v>
      </c>
      <c r="C133" s="394" t="s">
        <v>298</v>
      </c>
      <c r="D133" s="286" t="s">
        <v>299</v>
      </c>
      <c r="E133" s="122" t="s">
        <v>300</v>
      </c>
      <c r="F133" s="265" t="s">
        <v>294</v>
      </c>
      <c r="G133" s="122"/>
      <c r="H133" s="122"/>
      <c r="I133" s="122"/>
      <c r="J133" s="122"/>
      <c r="K133" s="122"/>
      <c r="L133" s="85"/>
      <c r="M133" s="286"/>
      <c r="N133" s="122">
        <v>2</v>
      </c>
      <c r="O133" s="122">
        <v>4</v>
      </c>
      <c r="P133" s="122">
        <v>11</v>
      </c>
      <c r="Q133" s="134" t="s">
        <v>122</v>
      </c>
      <c r="S133" s="131">
        <f>IF(RIGHT(Q133,1)="L",360-MID(Q133,1,FIND("L",Q133,1)-1),MID(Q133,1,FIND("C",Q133,1)-1))</f>
        <v>195</v>
      </c>
      <c r="T133" s="108">
        <f>IF((S133+$AB$2)&gt;359,(S133+$AB$2)-360,S133+$AB$2)</f>
        <v>88</v>
      </c>
      <c r="U133" s="138">
        <v>0</v>
      </c>
      <c r="V133" s="138">
        <f>P133*COS(RADIANS(T133))</f>
        <v>0.3838944637275119</v>
      </c>
      <c r="W133" s="144">
        <v>0</v>
      </c>
      <c r="X133" s="139">
        <f>P133*SIN(RADIANS(T133))</f>
        <v>10.993299097210054</v>
      </c>
    </row>
    <row r="134">
      <c r="B134" s="103">
        <v>78</v>
      </c>
      <c r="C134" s="395"/>
      <c r="D134" s="287"/>
      <c r="E134" s="123" t="s">
        <v>301</v>
      </c>
      <c r="F134" s="266"/>
      <c r="G134" s="123"/>
      <c r="H134" s="123"/>
      <c r="I134" s="123"/>
      <c r="J134" s="123"/>
      <c r="K134" s="123"/>
      <c r="L134" s="86"/>
      <c r="M134" s="287"/>
      <c r="N134" s="123">
        <v>6</v>
      </c>
      <c r="O134" s="123">
        <v>8</v>
      </c>
      <c r="P134" s="123">
        <v>12</v>
      </c>
      <c r="Q134" s="135" t="s">
        <v>116</v>
      </c>
      <c r="S134" s="131" t="str">
        <f>IF(RIGHT(Q134,1)="L",360-MID(Q134,1,FIND("L",Q134,1)-1),MID(Q134,1,FIND("C",Q134,1)-1))</f>
        <v>77</v>
      </c>
      <c r="T134" s="108">
        <f>IF((S134+$AB$2)&gt;359,(S134+$AB$2)-360,S134+$AB$2)</f>
        <v>330</v>
      </c>
      <c r="U134" s="140">
        <v>0</v>
      </c>
      <c r="V134" s="140">
        <f>P134*COS(RADIANS(T134))</f>
        <v>10.39230484541326</v>
      </c>
      <c r="W134" s="145">
        <v>0</v>
      </c>
      <c r="X134" s="141">
        <f>P134*SIN(RADIANS(T134))</f>
        <v>-6.000000000000005</v>
      </c>
    </row>
    <row r="135">
      <c r="B135" s="103">
        <v>79</v>
      </c>
      <c r="C135" s="395"/>
      <c r="D135" s="287"/>
      <c r="E135" s="123" t="s">
        <v>302</v>
      </c>
      <c r="F135" s="266"/>
      <c r="G135" s="123"/>
      <c r="H135" s="123"/>
      <c r="I135" s="123"/>
      <c r="J135" s="123"/>
      <c r="K135" s="123"/>
      <c r="L135" s="86"/>
      <c r="M135" s="287"/>
      <c r="N135" s="123">
        <v>10</v>
      </c>
      <c r="O135" s="123">
        <v>12</v>
      </c>
      <c r="P135" s="123">
        <v>12</v>
      </c>
      <c r="Q135" s="135" t="s">
        <v>153</v>
      </c>
      <c r="S135" s="148">
        <f>IF(RIGHT(Q135,1)="L",360-MID(Q135,1,FIND("L",Q135,1)-1),MID(Q135,1,FIND("C",Q135,1)-1))</f>
        <v>320</v>
      </c>
      <c r="T135" s="110">
        <f>IF((S135+$AB$2)&gt;359,(S135+$AB$2)-360,S135+$AB$2)</f>
        <v>213</v>
      </c>
      <c r="U135" s="142">
        <v>0</v>
      </c>
      <c r="V135" s="142">
        <f>P135*COS(RADIANS(T135))</f>
        <v>-10.064046815345089</v>
      </c>
      <c r="W135" s="146">
        <v>0</v>
      </c>
      <c r="X135" s="143">
        <f>P135*SIN(RADIANS(T135))</f>
        <v>-6.5356684201803255</v>
      </c>
    </row>
    <row r="136">
      <c r="B136" s="103">
        <v>80</v>
      </c>
      <c r="C136" s="396"/>
      <c r="D136" s="288"/>
      <c r="E136" s="124" t="s">
        <v>303</v>
      </c>
      <c r="F136" s="267"/>
      <c r="G136" s="124"/>
      <c r="H136" s="124"/>
      <c r="I136" s="124"/>
      <c r="J136" s="124"/>
      <c r="K136" s="124"/>
      <c r="L136" s="133"/>
      <c r="M136" s="288"/>
      <c r="N136" s="350" t="s">
        <v>37</v>
      </c>
      <c r="O136" s="350"/>
      <c r="P136" s="350"/>
      <c r="Q136" s="353"/>
    </row>
    <row r="137">
      <c r="B137" s="103">
        <v>133</v>
      </c>
      <c r="C137" s="394" t="s">
        <v>268</v>
      </c>
      <c r="D137" s="286" t="s">
        <v>304</v>
      </c>
      <c r="E137" s="122" t="s">
        <v>305</v>
      </c>
      <c r="F137" s="286" t="s">
        <v>276</v>
      </c>
      <c r="G137" s="122">
        <v>1</v>
      </c>
      <c r="H137" s="122">
        <v>14</v>
      </c>
      <c r="I137" s="122" t="s">
        <v>131</v>
      </c>
      <c r="J137" s="122">
        <v>2</v>
      </c>
      <c r="K137" s="122">
        <v>14</v>
      </c>
      <c r="L137" s="85" t="s">
        <v>131</v>
      </c>
      <c r="M137" s="268" t="s">
        <v>97</v>
      </c>
      <c r="N137" s="269"/>
      <c r="O137" s="269"/>
      <c r="P137" s="269"/>
      <c r="Q137" s="270"/>
    </row>
    <row r="138">
      <c r="B138" s="103">
        <v>134</v>
      </c>
      <c r="C138" s="395"/>
      <c r="D138" s="287"/>
      <c r="E138" s="123" t="s">
        <v>306</v>
      </c>
      <c r="F138" s="287"/>
      <c r="G138" s="123">
        <v>3</v>
      </c>
      <c r="H138" s="123">
        <v>14</v>
      </c>
      <c r="I138" s="123" t="s">
        <v>7</v>
      </c>
      <c r="J138" s="123">
        <v>4</v>
      </c>
      <c r="K138" s="123">
        <v>14</v>
      </c>
      <c r="L138" s="86" t="s">
        <v>7</v>
      </c>
      <c r="M138" s="271"/>
      <c r="N138" s="272"/>
      <c r="O138" s="272"/>
      <c r="P138" s="272"/>
      <c r="Q138" s="273"/>
    </row>
    <row r="139" ht="15" customHeight="1">
      <c r="B139" s="103">
        <v>135</v>
      </c>
      <c r="C139" s="395"/>
      <c r="D139" s="287"/>
      <c r="E139" s="123" t="s">
        <v>307</v>
      </c>
      <c r="F139" s="287"/>
      <c r="G139" s="123">
        <v>5</v>
      </c>
      <c r="H139" s="123">
        <v>14</v>
      </c>
      <c r="I139" s="123" t="s">
        <v>8</v>
      </c>
      <c r="J139" s="123">
        <v>6</v>
      </c>
      <c r="K139" s="123">
        <v>14</v>
      </c>
      <c r="L139" s="86" t="s">
        <v>8</v>
      </c>
      <c r="M139" s="271"/>
      <c r="N139" s="272"/>
      <c r="O139" s="272"/>
      <c r="P139" s="272"/>
      <c r="Q139" s="273"/>
    </row>
    <row r="140">
      <c r="B140" s="103">
        <v>136</v>
      </c>
      <c r="C140" s="396"/>
      <c r="D140" s="288"/>
      <c r="E140" s="124" t="s">
        <v>308</v>
      </c>
      <c r="F140" s="288"/>
      <c r="G140" s="124">
        <v>7</v>
      </c>
      <c r="H140" s="124">
        <v>0</v>
      </c>
      <c r="I140" s="115" t="s">
        <v>37</v>
      </c>
      <c r="J140" s="124">
        <v>8</v>
      </c>
      <c r="K140" s="124">
        <v>0</v>
      </c>
      <c r="L140" s="168" t="s">
        <v>37</v>
      </c>
      <c r="M140" s="274"/>
      <c r="N140" s="275"/>
      <c r="O140" s="275"/>
      <c r="P140" s="275"/>
      <c r="Q140" s="276"/>
    </row>
    <row r="141">
      <c r="B141" s="103">
        <v>37</v>
      </c>
      <c r="C141" s="292" t="s">
        <v>309</v>
      </c>
      <c r="D141" s="286" t="s">
        <v>310</v>
      </c>
      <c r="E141" s="122" t="s">
        <v>108</v>
      </c>
      <c r="F141" s="265" t="s">
        <v>114</v>
      </c>
      <c r="G141" s="268" t="s">
        <v>37</v>
      </c>
      <c r="H141" s="269"/>
      <c r="I141" s="292"/>
      <c r="J141" s="122">
        <v>1</v>
      </c>
      <c r="K141" s="122">
        <v>14</v>
      </c>
      <c r="L141" s="122" t="s">
        <v>6</v>
      </c>
      <c r="M141" s="268" t="s">
        <v>97</v>
      </c>
      <c r="N141" s="269"/>
      <c r="O141" s="269"/>
      <c r="P141" s="269"/>
      <c r="Q141" s="270"/>
    </row>
    <row r="142">
      <c r="B142" s="103">
        <v>38</v>
      </c>
      <c r="C142" s="293"/>
      <c r="D142" s="287"/>
      <c r="E142" s="123" t="s">
        <v>110</v>
      </c>
      <c r="F142" s="266"/>
      <c r="G142" s="271"/>
      <c r="H142" s="272"/>
      <c r="I142" s="293"/>
      <c r="J142" s="123">
        <v>2</v>
      </c>
      <c r="K142" s="123">
        <v>14</v>
      </c>
      <c r="L142" s="123" t="s">
        <v>7</v>
      </c>
      <c r="M142" s="271"/>
      <c r="N142" s="272"/>
      <c r="O142" s="272"/>
      <c r="P142" s="272"/>
      <c r="Q142" s="273"/>
    </row>
    <row r="143" ht="15" customHeight="1">
      <c r="B143" s="103">
        <v>39</v>
      </c>
      <c r="C143" s="293"/>
      <c r="D143" s="287"/>
      <c r="E143" s="123" t="s">
        <v>117</v>
      </c>
      <c r="F143" s="266"/>
      <c r="G143" s="271"/>
      <c r="H143" s="272"/>
      <c r="I143" s="293"/>
      <c r="J143" s="123">
        <v>3</v>
      </c>
      <c r="K143" s="123">
        <v>14</v>
      </c>
      <c r="L143" s="123" t="s">
        <v>8</v>
      </c>
      <c r="M143" s="271"/>
      <c r="N143" s="272"/>
      <c r="O143" s="272"/>
      <c r="P143" s="272"/>
      <c r="Q143" s="273"/>
    </row>
    <row r="144">
      <c r="B144" s="103">
        <v>40</v>
      </c>
      <c r="C144" s="293"/>
      <c r="D144" s="288"/>
      <c r="E144" s="124" t="s">
        <v>119</v>
      </c>
      <c r="F144" s="267"/>
      <c r="G144" s="274"/>
      <c r="H144" s="275"/>
      <c r="I144" s="294"/>
      <c r="J144" s="124">
        <v>4</v>
      </c>
      <c r="K144" s="124">
        <v>0</v>
      </c>
      <c r="L144" s="124" t="s">
        <v>37</v>
      </c>
      <c r="M144" s="274"/>
      <c r="N144" s="275"/>
      <c r="O144" s="275"/>
      <c r="P144" s="275"/>
      <c r="Q144" s="276"/>
    </row>
    <row r="145">
      <c r="B145" s="103">
        <v>57</v>
      </c>
      <c r="C145" s="292" t="s">
        <v>141</v>
      </c>
      <c r="D145" s="286" t="s">
        <v>310</v>
      </c>
      <c r="E145" s="122" t="s">
        <v>143</v>
      </c>
      <c r="F145" s="348" t="s">
        <v>114</v>
      </c>
      <c r="G145" s="268" t="s">
        <v>37</v>
      </c>
      <c r="H145" s="269"/>
      <c r="I145" s="292"/>
      <c r="J145" s="122">
        <v>9</v>
      </c>
      <c r="K145" s="122">
        <v>14</v>
      </c>
      <c r="L145" s="122" t="s">
        <v>6</v>
      </c>
      <c r="M145" s="348" t="s">
        <v>97</v>
      </c>
      <c r="N145" s="348"/>
      <c r="O145" s="348"/>
      <c r="P145" s="348"/>
      <c r="Q145" s="351"/>
    </row>
    <row r="146">
      <c r="B146" s="103">
        <v>58</v>
      </c>
      <c r="C146" s="293"/>
      <c r="D146" s="287"/>
      <c r="E146" s="123" t="s">
        <v>145</v>
      </c>
      <c r="F146" s="349"/>
      <c r="G146" s="271"/>
      <c r="H146" s="272"/>
      <c r="I146" s="293"/>
      <c r="J146" s="123">
        <v>10</v>
      </c>
      <c r="K146" s="123">
        <v>15</v>
      </c>
      <c r="L146" s="123" t="s">
        <v>7</v>
      </c>
      <c r="M146" s="349"/>
      <c r="N146" s="349"/>
      <c r="O146" s="349"/>
      <c r="P146" s="349"/>
      <c r="Q146" s="352"/>
    </row>
    <row r="147" ht="15" customHeight="1">
      <c r="B147" s="103">
        <v>59</v>
      </c>
      <c r="C147" s="293"/>
      <c r="D147" s="287"/>
      <c r="E147" s="123" t="s">
        <v>146</v>
      </c>
      <c r="F147" s="349"/>
      <c r="G147" s="271"/>
      <c r="H147" s="272"/>
      <c r="I147" s="293"/>
      <c r="J147" s="123">
        <v>11</v>
      </c>
      <c r="K147" s="123">
        <v>14</v>
      </c>
      <c r="L147" s="123" t="s">
        <v>8</v>
      </c>
      <c r="M147" s="349"/>
      <c r="N147" s="349"/>
      <c r="O147" s="349"/>
      <c r="P147" s="349"/>
      <c r="Q147" s="352"/>
    </row>
    <row r="148">
      <c r="B148" s="103">
        <v>60</v>
      </c>
      <c r="C148" s="293"/>
      <c r="D148" s="288"/>
      <c r="E148" s="124" t="s">
        <v>148</v>
      </c>
      <c r="F148" s="350"/>
      <c r="G148" s="274"/>
      <c r="H148" s="275"/>
      <c r="I148" s="294"/>
      <c r="J148" s="124">
        <v>12</v>
      </c>
      <c r="K148" s="124"/>
      <c r="L148" s="124"/>
      <c r="M148" s="350"/>
      <c r="N148" s="350"/>
      <c r="O148" s="350"/>
      <c r="P148" s="350"/>
      <c r="Q148" s="353"/>
    </row>
    <row r="149">
      <c r="B149" s="103">
        <v>65</v>
      </c>
      <c r="C149" s="314" t="s">
        <v>291</v>
      </c>
      <c r="D149" s="261" t="s">
        <v>310</v>
      </c>
      <c r="E149" s="106" t="s">
        <v>293</v>
      </c>
      <c r="F149" s="303" t="s">
        <v>114</v>
      </c>
      <c r="G149" s="305" t="s">
        <v>37</v>
      </c>
      <c r="H149" s="306"/>
      <c r="I149" s="314"/>
      <c r="J149" s="106">
        <v>17</v>
      </c>
      <c r="K149" s="106">
        <v>14</v>
      </c>
      <c r="L149" s="147" t="s">
        <v>6</v>
      </c>
      <c r="M149" s="339" t="s">
        <v>97</v>
      </c>
      <c r="N149" s="339"/>
      <c r="O149" s="339"/>
      <c r="P149" s="339"/>
      <c r="Q149" s="344"/>
    </row>
    <row r="150">
      <c r="B150" s="103">
        <v>66</v>
      </c>
      <c r="C150" s="315"/>
      <c r="D150" s="326"/>
      <c r="E150" s="108" t="s">
        <v>295</v>
      </c>
      <c r="F150" s="317"/>
      <c r="G150" s="308"/>
      <c r="H150" s="309"/>
      <c r="I150" s="315"/>
      <c r="J150" s="108">
        <v>18</v>
      </c>
      <c r="K150" s="108">
        <v>14</v>
      </c>
      <c r="L150" s="82" t="s">
        <v>7</v>
      </c>
      <c r="M150" s="340"/>
      <c r="N150" s="340"/>
      <c r="O150" s="340"/>
      <c r="P150" s="340"/>
      <c r="Q150" s="345"/>
    </row>
    <row r="151">
      <c r="B151" s="103">
        <v>67</v>
      </c>
      <c r="C151" s="315"/>
      <c r="D151" s="326"/>
      <c r="E151" s="120" t="s">
        <v>296</v>
      </c>
      <c r="F151" s="317"/>
      <c r="G151" s="308"/>
      <c r="H151" s="309"/>
      <c r="I151" s="315"/>
      <c r="J151" s="108">
        <v>19</v>
      </c>
      <c r="K151" s="108">
        <v>14</v>
      </c>
      <c r="L151" s="82" t="s">
        <v>8</v>
      </c>
      <c r="M151" s="340"/>
      <c r="N151" s="340"/>
      <c r="O151" s="340"/>
      <c r="P151" s="340"/>
      <c r="Q151" s="345"/>
    </row>
    <row r="152">
      <c r="B152" s="103">
        <v>68</v>
      </c>
      <c r="C152" s="315"/>
      <c r="D152" s="262"/>
      <c r="E152" s="121" t="s">
        <v>297</v>
      </c>
      <c r="F152" s="304"/>
      <c r="G152" s="311"/>
      <c r="H152" s="312"/>
      <c r="I152" s="316"/>
      <c r="J152" s="110">
        <v>20</v>
      </c>
      <c r="K152" s="110"/>
      <c r="L152" s="137"/>
      <c r="M152" s="342"/>
      <c r="N152" s="342"/>
      <c r="O152" s="342"/>
      <c r="P152" s="342"/>
      <c r="Q152" s="347"/>
    </row>
    <row r="153">
      <c r="B153" s="103">
        <v>73</v>
      </c>
      <c r="C153" s="292" t="s">
        <v>298</v>
      </c>
      <c r="D153" s="286" t="s">
        <v>310</v>
      </c>
      <c r="E153" s="122" t="s">
        <v>300</v>
      </c>
      <c r="F153" s="265" t="s">
        <v>114</v>
      </c>
      <c r="G153" s="268" t="s">
        <v>37</v>
      </c>
      <c r="H153" s="269"/>
      <c r="I153" s="292"/>
      <c r="J153" s="122">
        <v>25</v>
      </c>
      <c r="K153" s="122">
        <v>14</v>
      </c>
      <c r="L153" s="85" t="s">
        <v>6</v>
      </c>
      <c r="M153" s="268" t="s">
        <v>97</v>
      </c>
      <c r="N153" s="269"/>
      <c r="O153" s="269"/>
      <c r="P153" s="269"/>
      <c r="Q153" s="270"/>
    </row>
    <row r="154">
      <c r="B154" s="103">
        <v>74</v>
      </c>
      <c r="C154" s="293"/>
      <c r="D154" s="287"/>
      <c r="E154" s="123" t="s">
        <v>301</v>
      </c>
      <c r="F154" s="266"/>
      <c r="G154" s="271"/>
      <c r="H154" s="272"/>
      <c r="I154" s="293"/>
      <c r="J154" s="123">
        <v>26</v>
      </c>
      <c r="K154" s="123">
        <v>14</v>
      </c>
      <c r="L154" s="86" t="s">
        <v>133</v>
      </c>
      <c r="M154" s="271"/>
      <c r="N154" s="272"/>
      <c r="O154" s="272"/>
      <c r="P154" s="272"/>
      <c r="Q154" s="273"/>
    </row>
    <row r="155">
      <c r="B155" s="103">
        <v>75</v>
      </c>
      <c r="C155" s="293"/>
      <c r="D155" s="287"/>
      <c r="E155" s="123" t="s">
        <v>302</v>
      </c>
      <c r="F155" s="266"/>
      <c r="G155" s="271"/>
      <c r="H155" s="272"/>
      <c r="I155" s="293"/>
      <c r="J155" s="123">
        <v>27</v>
      </c>
      <c r="K155" s="123">
        <v>14</v>
      </c>
      <c r="L155" s="86" t="s">
        <v>8</v>
      </c>
      <c r="M155" s="271"/>
      <c r="N155" s="272"/>
      <c r="O155" s="272"/>
      <c r="P155" s="272"/>
      <c r="Q155" s="273"/>
    </row>
    <row r="156">
      <c r="B156" s="103">
        <v>76</v>
      </c>
      <c r="C156" s="293"/>
      <c r="D156" s="288"/>
      <c r="E156" s="124" t="s">
        <v>303</v>
      </c>
      <c r="F156" s="267"/>
      <c r="G156" s="274"/>
      <c r="H156" s="275"/>
      <c r="I156" s="294"/>
      <c r="J156" s="124">
        <v>28</v>
      </c>
      <c r="K156" s="124">
        <v>0</v>
      </c>
      <c r="L156" s="133" t="s">
        <v>37</v>
      </c>
      <c r="M156" s="274"/>
      <c r="N156" s="275"/>
      <c r="O156" s="275"/>
      <c r="P156" s="275"/>
      <c r="Q156" s="276"/>
    </row>
    <row r="157">
      <c r="B157" s="103">
        <v>101</v>
      </c>
      <c r="C157" s="411" t="s">
        <v>239</v>
      </c>
      <c r="D157" s="261" t="s">
        <v>310</v>
      </c>
      <c r="E157" s="106" t="s">
        <v>240</v>
      </c>
      <c r="F157" s="339" t="s">
        <v>114</v>
      </c>
      <c r="G157" s="339"/>
      <c r="H157" s="339"/>
      <c r="I157" s="339"/>
      <c r="J157" s="106">
        <v>41</v>
      </c>
      <c r="K157" s="119">
        <v>14</v>
      </c>
      <c r="L157" s="106" t="s">
        <v>6</v>
      </c>
      <c r="M157" s="339" t="s">
        <v>97</v>
      </c>
      <c r="N157" s="339"/>
      <c r="O157" s="339"/>
      <c r="P157" s="339"/>
      <c r="Q157" s="344"/>
    </row>
    <row r="158">
      <c r="B158" s="103">
        <v>102</v>
      </c>
      <c r="C158" s="412"/>
      <c r="D158" s="326"/>
      <c r="E158" s="108" t="s">
        <v>241</v>
      </c>
      <c r="F158" s="340"/>
      <c r="G158" s="340"/>
      <c r="H158" s="340"/>
      <c r="I158" s="340"/>
      <c r="J158" s="108">
        <v>42</v>
      </c>
      <c r="K158" s="120">
        <v>14</v>
      </c>
      <c r="L158" s="108" t="s">
        <v>7</v>
      </c>
      <c r="M158" s="340"/>
      <c r="N158" s="340"/>
      <c r="O158" s="340"/>
      <c r="P158" s="340"/>
      <c r="Q158" s="345"/>
    </row>
    <row r="159">
      <c r="B159" s="103">
        <v>103</v>
      </c>
      <c r="C159" s="412"/>
      <c r="D159" s="326"/>
      <c r="E159" s="120" t="s">
        <v>242</v>
      </c>
      <c r="F159" s="340"/>
      <c r="G159" s="340"/>
      <c r="H159" s="340"/>
      <c r="I159" s="340"/>
      <c r="J159" s="108">
        <v>43</v>
      </c>
      <c r="K159" s="120">
        <v>14</v>
      </c>
      <c r="L159" s="108" t="s">
        <v>8</v>
      </c>
      <c r="M159" s="340"/>
      <c r="N159" s="340"/>
      <c r="O159" s="340"/>
      <c r="P159" s="340"/>
      <c r="Q159" s="345"/>
    </row>
    <row r="160">
      <c r="B160" s="103">
        <v>104</v>
      </c>
      <c r="C160" s="412"/>
      <c r="D160" s="343"/>
      <c r="E160" s="28" t="s">
        <v>243</v>
      </c>
      <c r="F160" s="341"/>
      <c r="G160" s="341"/>
      <c r="H160" s="341"/>
      <c r="I160" s="341"/>
      <c r="J160" s="125">
        <v>44</v>
      </c>
      <c r="K160" s="28">
        <v>0</v>
      </c>
      <c r="L160" s="125" t="s">
        <v>37</v>
      </c>
      <c r="M160" s="341"/>
      <c r="N160" s="341"/>
      <c r="O160" s="341"/>
      <c r="P160" s="341"/>
      <c r="Q160" s="346"/>
    </row>
    <row r="161">
      <c r="B161" s="103">
        <v>109</v>
      </c>
      <c r="C161" s="292" t="s">
        <v>208</v>
      </c>
      <c r="D161" s="286" t="s">
        <v>310</v>
      </c>
      <c r="E161" s="122" t="s">
        <v>209</v>
      </c>
      <c r="F161" s="348" t="s">
        <v>114</v>
      </c>
      <c r="G161" s="348" t="s">
        <v>37</v>
      </c>
      <c r="H161" s="348"/>
      <c r="I161" s="348"/>
      <c r="J161" s="122">
        <v>49</v>
      </c>
      <c r="K161" s="122">
        <v>14</v>
      </c>
      <c r="L161" s="122" t="s">
        <v>131</v>
      </c>
      <c r="M161" s="348" t="s">
        <v>97</v>
      </c>
      <c r="N161" s="348"/>
      <c r="O161" s="348"/>
      <c r="P161" s="348"/>
      <c r="Q161" s="351"/>
    </row>
    <row r="162">
      <c r="B162" s="103">
        <v>110</v>
      </c>
      <c r="C162" s="293"/>
      <c r="D162" s="287"/>
      <c r="E162" s="123" t="s">
        <v>211</v>
      </c>
      <c r="F162" s="349"/>
      <c r="G162" s="349"/>
      <c r="H162" s="349"/>
      <c r="I162" s="349"/>
      <c r="J162" s="123">
        <v>50</v>
      </c>
      <c r="K162" s="123">
        <v>14</v>
      </c>
      <c r="L162" s="123" t="s">
        <v>7</v>
      </c>
      <c r="M162" s="349"/>
      <c r="N162" s="349"/>
      <c r="O162" s="349"/>
      <c r="P162" s="349"/>
      <c r="Q162" s="352"/>
    </row>
    <row r="163">
      <c r="B163" s="103">
        <v>111</v>
      </c>
      <c r="C163" s="293"/>
      <c r="D163" s="287"/>
      <c r="E163" s="123" t="s">
        <v>212</v>
      </c>
      <c r="F163" s="349"/>
      <c r="G163" s="349"/>
      <c r="H163" s="349"/>
      <c r="I163" s="349"/>
      <c r="J163" s="123">
        <v>51</v>
      </c>
      <c r="K163" s="123">
        <v>14</v>
      </c>
      <c r="L163" s="123" t="s">
        <v>8</v>
      </c>
      <c r="M163" s="349"/>
      <c r="N163" s="349"/>
      <c r="O163" s="349"/>
      <c r="P163" s="349"/>
      <c r="Q163" s="352"/>
    </row>
    <row r="164">
      <c r="B164" s="103">
        <v>112</v>
      </c>
      <c r="C164" s="293"/>
      <c r="D164" s="355"/>
      <c r="E164" s="127" t="s">
        <v>214</v>
      </c>
      <c r="F164" s="354"/>
      <c r="G164" s="354"/>
      <c r="H164" s="354"/>
      <c r="I164" s="354"/>
      <c r="J164" s="127">
        <v>52</v>
      </c>
      <c r="K164" s="127">
        <v>0</v>
      </c>
      <c r="L164" s="127" t="s">
        <v>37</v>
      </c>
      <c r="M164" s="354"/>
      <c r="N164" s="354"/>
      <c r="O164" s="354"/>
      <c r="P164" s="354"/>
      <c r="Q164" s="356"/>
    </row>
    <row r="165">
      <c r="B165" s="103">
        <v>117</v>
      </c>
      <c r="C165" s="314" t="s">
        <v>260</v>
      </c>
      <c r="D165" s="261" t="s">
        <v>310</v>
      </c>
      <c r="E165" s="106" t="s">
        <v>275</v>
      </c>
      <c r="F165" s="339" t="s">
        <v>114</v>
      </c>
      <c r="G165" s="106">
        <v>57</v>
      </c>
      <c r="H165" s="106">
        <v>14</v>
      </c>
      <c r="I165" s="106" t="s">
        <v>131</v>
      </c>
      <c r="J165" s="106">
        <v>57</v>
      </c>
      <c r="K165" s="119"/>
      <c r="L165" s="106"/>
      <c r="M165" s="339" t="s">
        <v>97</v>
      </c>
      <c r="N165" s="339"/>
      <c r="O165" s="339"/>
      <c r="P165" s="339"/>
      <c r="Q165" s="344"/>
    </row>
    <row r="166">
      <c r="B166" s="103">
        <v>118</v>
      </c>
      <c r="C166" s="315"/>
      <c r="D166" s="326"/>
      <c r="E166" s="108" t="s">
        <v>278</v>
      </c>
      <c r="F166" s="340"/>
      <c r="G166" s="108">
        <v>58</v>
      </c>
      <c r="H166" s="108">
        <v>14</v>
      </c>
      <c r="I166" s="108" t="s">
        <v>7</v>
      </c>
      <c r="J166" s="108">
        <v>58</v>
      </c>
      <c r="K166" s="120"/>
      <c r="L166" s="108"/>
      <c r="M166" s="340"/>
      <c r="N166" s="340"/>
      <c r="O166" s="340"/>
      <c r="P166" s="340"/>
      <c r="Q166" s="345"/>
    </row>
    <row r="167" ht="15" customHeight="1">
      <c r="B167" s="103">
        <v>119</v>
      </c>
      <c r="C167" s="315"/>
      <c r="D167" s="326"/>
      <c r="E167" s="120" t="s">
        <v>279</v>
      </c>
      <c r="F167" s="340"/>
      <c r="G167" s="108">
        <v>59</v>
      </c>
      <c r="H167" s="108">
        <v>14</v>
      </c>
      <c r="I167" s="108" t="s">
        <v>8</v>
      </c>
      <c r="J167" s="108">
        <v>59</v>
      </c>
      <c r="K167" s="120"/>
      <c r="L167" s="108"/>
      <c r="M167" s="340"/>
      <c r="N167" s="340"/>
      <c r="O167" s="340"/>
      <c r="P167" s="340"/>
      <c r="Q167" s="345"/>
    </row>
    <row r="168">
      <c r="B168" s="103">
        <v>120</v>
      </c>
      <c r="C168" s="315"/>
      <c r="D168" s="343"/>
      <c r="E168" s="28" t="s">
        <v>280</v>
      </c>
      <c r="F168" s="341"/>
      <c r="G168" s="125">
        <v>60</v>
      </c>
      <c r="H168" s="125"/>
      <c r="I168" s="125"/>
      <c r="J168" s="125">
        <v>60</v>
      </c>
      <c r="K168" s="28"/>
      <c r="L168" s="125"/>
      <c r="M168" s="341"/>
      <c r="N168" s="341"/>
      <c r="O168" s="341"/>
      <c r="P168" s="341"/>
      <c r="Q168" s="346"/>
    </row>
    <row r="169">
      <c r="B169" s="103">
        <v>129</v>
      </c>
      <c r="C169" s="292" t="s">
        <v>268</v>
      </c>
      <c r="D169" s="286" t="s">
        <v>310</v>
      </c>
      <c r="E169" s="122" t="s">
        <v>305</v>
      </c>
      <c r="F169" s="348" t="s">
        <v>114</v>
      </c>
      <c r="G169" s="348" t="s">
        <v>37</v>
      </c>
      <c r="H169" s="348"/>
      <c r="I169" s="348"/>
      <c r="J169" s="122">
        <v>65</v>
      </c>
      <c r="K169" s="122">
        <v>14</v>
      </c>
      <c r="L169" s="85" t="s">
        <v>131</v>
      </c>
      <c r="M169" s="268" t="s">
        <v>97</v>
      </c>
      <c r="N169" s="269"/>
      <c r="O169" s="269"/>
      <c r="P169" s="269"/>
      <c r="Q169" s="270"/>
    </row>
    <row r="170">
      <c r="B170" s="103">
        <v>130</v>
      </c>
      <c r="C170" s="293"/>
      <c r="D170" s="287"/>
      <c r="E170" s="123" t="s">
        <v>306</v>
      </c>
      <c r="F170" s="349"/>
      <c r="G170" s="349"/>
      <c r="H170" s="349"/>
      <c r="I170" s="349"/>
      <c r="J170" s="123">
        <v>66</v>
      </c>
      <c r="K170" s="123">
        <v>14</v>
      </c>
      <c r="L170" s="86" t="s">
        <v>7</v>
      </c>
      <c r="M170" s="271"/>
      <c r="N170" s="272"/>
      <c r="O170" s="272"/>
      <c r="P170" s="272"/>
      <c r="Q170" s="273"/>
    </row>
    <row r="171" ht="15" customHeight="1">
      <c r="B171" s="103">
        <v>131</v>
      </c>
      <c r="C171" s="293"/>
      <c r="D171" s="287"/>
      <c r="E171" s="123" t="s">
        <v>307</v>
      </c>
      <c r="F171" s="349"/>
      <c r="G171" s="349"/>
      <c r="H171" s="349"/>
      <c r="I171" s="349"/>
      <c r="J171" s="123">
        <v>67</v>
      </c>
      <c r="K171" s="123">
        <v>14</v>
      </c>
      <c r="L171" s="86" t="s">
        <v>8</v>
      </c>
      <c r="M171" s="271"/>
      <c r="N171" s="272"/>
      <c r="O171" s="272"/>
      <c r="P171" s="272"/>
      <c r="Q171" s="273"/>
    </row>
    <row r="172">
      <c r="B172" s="103">
        <v>132</v>
      </c>
      <c r="C172" s="293"/>
      <c r="D172" s="288"/>
      <c r="E172" s="124" t="s">
        <v>308</v>
      </c>
      <c r="F172" s="350"/>
      <c r="G172" s="350"/>
      <c r="H172" s="350"/>
      <c r="I172" s="350"/>
      <c r="J172" s="124">
        <v>68</v>
      </c>
      <c r="K172" s="124">
        <v>0</v>
      </c>
      <c r="L172" s="133" t="s">
        <v>37</v>
      </c>
      <c r="M172" s="274"/>
      <c r="N172" s="275"/>
      <c r="O172" s="275"/>
      <c r="P172" s="275"/>
      <c r="Q172" s="276"/>
    </row>
    <row r="173">
      <c r="B173" s="103">
        <v>153</v>
      </c>
      <c r="C173" s="323" t="s">
        <v>311</v>
      </c>
      <c r="D173" s="261" t="s">
        <v>310</v>
      </c>
      <c r="E173" s="106" t="s">
        <v>312</v>
      </c>
      <c r="F173" s="261" t="s">
        <v>276</v>
      </c>
      <c r="G173" s="119">
        <v>73</v>
      </c>
      <c r="H173" s="106"/>
      <c r="I173" s="116"/>
      <c r="J173" s="119">
        <v>81</v>
      </c>
      <c r="K173" s="119">
        <v>30</v>
      </c>
      <c r="L173" s="106" t="s">
        <v>115</v>
      </c>
      <c r="M173" s="339" t="s">
        <v>97</v>
      </c>
      <c r="N173" s="339"/>
      <c r="O173" s="339"/>
      <c r="P173" s="339"/>
      <c r="Q173" s="344"/>
    </row>
    <row r="174">
      <c r="B174" s="103">
        <v>154</v>
      </c>
      <c r="C174" s="324"/>
      <c r="D174" s="326"/>
      <c r="E174" s="108" t="s">
        <v>313</v>
      </c>
      <c r="F174" s="326"/>
      <c r="G174" s="120">
        <v>74</v>
      </c>
      <c r="H174" s="108"/>
      <c r="I174" s="117"/>
      <c r="J174" s="120">
        <v>82</v>
      </c>
      <c r="K174" s="120">
        <v>30</v>
      </c>
      <c r="L174" s="108" t="s">
        <v>7</v>
      </c>
      <c r="M174" s="340"/>
      <c r="N174" s="340"/>
      <c r="O174" s="340"/>
      <c r="P174" s="340"/>
      <c r="Q174" s="345"/>
    </row>
    <row r="175">
      <c r="B175" s="103">
        <v>155</v>
      </c>
      <c r="C175" s="324"/>
      <c r="D175" s="326"/>
      <c r="E175" s="120" t="s">
        <v>314</v>
      </c>
      <c r="F175" s="326"/>
      <c r="G175" s="120">
        <v>75</v>
      </c>
      <c r="H175" s="108"/>
      <c r="I175" s="117"/>
      <c r="J175" s="120">
        <v>83</v>
      </c>
      <c r="K175" s="120">
        <v>30</v>
      </c>
      <c r="L175" s="108" t="s">
        <v>118</v>
      </c>
      <c r="M175" s="340"/>
      <c r="N175" s="340"/>
      <c r="O175" s="340"/>
      <c r="P175" s="340"/>
      <c r="Q175" s="345"/>
    </row>
    <row r="176">
      <c r="B176" s="103">
        <v>156</v>
      </c>
      <c r="C176" s="325"/>
      <c r="D176" s="262"/>
      <c r="E176" s="121" t="s">
        <v>315</v>
      </c>
      <c r="F176" s="262"/>
      <c r="G176" s="121">
        <v>76</v>
      </c>
      <c r="H176" s="110"/>
      <c r="I176" s="118"/>
      <c r="J176" s="121">
        <v>84</v>
      </c>
      <c r="K176" s="110"/>
      <c r="L176" s="110"/>
      <c r="M176" s="342"/>
      <c r="N176" s="342"/>
      <c r="O176" s="342"/>
      <c r="P176" s="342"/>
      <c r="Q176" s="347"/>
    </row>
    <row r="177">
      <c r="B177" s="169">
        <v>149</v>
      </c>
      <c r="C177" s="413" t="s">
        <v>311</v>
      </c>
      <c r="D177" s="261" t="s">
        <v>316</v>
      </c>
      <c r="E177" s="106" t="s">
        <v>312</v>
      </c>
      <c r="F177" s="339" t="s">
        <v>317</v>
      </c>
      <c r="G177" s="106"/>
      <c r="H177" s="106"/>
      <c r="I177" s="106"/>
      <c r="J177" s="106">
        <v>7</v>
      </c>
      <c r="K177" s="106">
        <v>30</v>
      </c>
      <c r="L177" s="106" t="s">
        <v>115</v>
      </c>
      <c r="M177" s="339" t="s">
        <v>97</v>
      </c>
      <c r="N177" s="339"/>
      <c r="O177" s="339"/>
      <c r="P177" s="339"/>
      <c r="Q177" s="344"/>
    </row>
    <row r="178">
      <c r="B178" s="169">
        <v>150</v>
      </c>
      <c r="C178" s="414"/>
      <c r="D178" s="326"/>
      <c r="E178" s="108" t="s">
        <v>313</v>
      </c>
      <c r="F178" s="340"/>
      <c r="G178" s="108"/>
      <c r="H178" s="108"/>
      <c r="I178" s="108"/>
      <c r="J178" s="108">
        <v>9</v>
      </c>
      <c r="K178" s="108">
        <v>32</v>
      </c>
      <c r="L178" s="108" t="s">
        <v>133</v>
      </c>
      <c r="M178" s="340"/>
      <c r="N178" s="340"/>
      <c r="O178" s="340"/>
      <c r="P178" s="340"/>
      <c r="Q178" s="345"/>
    </row>
    <row r="179">
      <c r="B179" s="169">
        <v>151</v>
      </c>
      <c r="C179" s="414"/>
      <c r="D179" s="326"/>
      <c r="E179" s="120" t="s">
        <v>314</v>
      </c>
      <c r="F179" s="340"/>
      <c r="G179" s="108"/>
      <c r="H179" s="108"/>
      <c r="I179" s="108"/>
      <c r="J179" s="108">
        <v>11</v>
      </c>
      <c r="K179" s="108">
        <v>31</v>
      </c>
      <c r="L179" s="108" t="s">
        <v>118</v>
      </c>
      <c r="M179" s="340"/>
      <c r="N179" s="340"/>
      <c r="O179" s="340"/>
      <c r="P179" s="340"/>
      <c r="Q179" s="345"/>
    </row>
    <row r="180">
      <c r="B180" s="169">
        <v>152</v>
      </c>
      <c r="C180" s="415"/>
      <c r="D180" s="262"/>
      <c r="E180" s="121" t="s">
        <v>315</v>
      </c>
      <c r="F180" s="342"/>
      <c r="G180" s="110"/>
      <c r="H180" s="110"/>
      <c r="I180" s="110"/>
      <c r="J180" s="110">
        <v>12</v>
      </c>
      <c r="K180" s="110">
        <v>0</v>
      </c>
      <c r="L180" s="110" t="s">
        <v>37</v>
      </c>
      <c r="M180" s="342"/>
      <c r="N180" s="342"/>
      <c r="O180" s="342"/>
      <c r="P180" s="342"/>
      <c r="Q180" s="347"/>
    </row>
    <row r="181">
      <c r="B181" s="103">
        <v>161</v>
      </c>
      <c r="C181" s="292" t="s">
        <v>318</v>
      </c>
      <c r="D181" s="286" t="s">
        <v>316</v>
      </c>
      <c r="E181" s="122" t="s">
        <v>150</v>
      </c>
      <c r="F181" s="348" t="s">
        <v>319</v>
      </c>
      <c r="G181" s="348" t="s">
        <v>37</v>
      </c>
      <c r="H181" s="348"/>
      <c r="I181" s="348"/>
      <c r="J181" s="122">
        <v>1</v>
      </c>
      <c r="K181" s="122">
        <v>32</v>
      </c>
      <c r="L181" s="122" t="s">
        <v>130</v>
      </c>
      <c r="M181" s="348" t="s">
        <v>97</v>
      </c>
      <c r="N181" s="348"/>
      <c r="O181" s="348"/>
      <c r="P181" s="348"/>
      <c r="Q181" s="351"/>
    </row>
    <row r="182">
      <c r="B182" s="103">
        <v>162</v>
      </c>
      <c r="C182" s="293"/>
      <c r="D182" s="287"/>
      <c r="E182" s="123" t="s">
        <v>151</v>
      </c>
      <c r="F182" s="349"/>
      <c r="G182" s="349"/>
      <c r="H182" s="349"/>
      <c r="I182" s="349"/>
      <c r="J182" s="123">
        <v>3</v>
      </c>
      <c r="K182" s="123">
        <v>35</v>
      </c>
      <c r="L182" s="123" t="s">
        <v>116</v>
      </c>
      <c r="M182" s="349"/>
      <c r="N182" s="349"/>
      <c r="O182" s="349"/>
      <c r="P182" s="349"/>
      <c r="Q182" s="352"/>
    </row>
    <row r="183">
      <c r="B183" s="103">
        <v>163</v>
      </c>
      <c r="C183" s="293"/>
      <c r="D183" s="287"/>
      <c r="E183" s="123" t="s">
        <v>152</v>
      </c>
      <c r="F183" s="349"/>
      <c r="G183" s="349"/>
      <c r="H183" s="349"/>
      <c r="I183" s="349"/>
      <c r="J183" s="123">
        <v>5</v>
      </c>
      <c r="K183" s="123">
        <v>31</v>
      </c>
      <c r="L183" s="123" t="s">
        <v>153</v>
      </c>
      <c r="M183" s="349"/>
      <c r="N183" s="349"/>
      <c r="O183" s="349"/>
      <c r="P183" s="349"/>
      <c r="Q183" s="352"/>
    </row>
    <row r="184">
      <c r="B184" s="103">
        <v>164</v>
      </c>
      <c r="C184" s="293"/>
      <c r="D184" s="355"/>
      <c r="E184" s="127" t="s">
        <v>154</v>
      </c>
      <c r="F184" s="354"/>
      <c r="G184" s="354"/>
      <c r="H184" s="354"/>
      <c r="I184" s="354"/>
      <c r="J184" s="127">
        <v>6</v>
      </c>
      <c r="K184" s="127">
        <v>0</v>
      </c>
      <c r="L184" s="127" t="s">
        <v>37</v>
      </c>
      <c r="M184" s="354"/>
      <c r="N184" s="354"/>
      <c r="O184" s="354"/>
      <c r="P184" s="354"/>
      <c r="Q184" s="356"/>
    </row>
    <row r="185">
      <c r="B185" s="103">
        <v>173</v>
      </c>
      <c r="C185" s="314" t="s">
        <v>120</v>
      </c>
      <c r="D185" s="261" t="s">
        <v>316</v>
      </c>
      <c r="E185" s="106" t="s">
        <v>121</v>
      </c>
      <c r="F185" s="339" t="s">
        <v>320</v>
      </c>
      <c r="G185" s="339" t="s">
        <v>37</v>
      </c>
      <c r="H185" s="339"/>
      <c r="I185" s="339"/>
      <c r="J185" s="106">
        <v>1</v>
      </c>
      <c r="K185" s="106">
        <v>32</v>
      </c>
      <c r="L185" s="106" t="s">
        <v>123</v>
      </c>
      <c r="M185" s="339" t="s">
        <v>97</v>
      </c>
      <c r="N185" s="339"/>
      <c r="O185" s="339"/>
      <c r="P185" s="339"/>
      <c r="Q185" s="344"/>
    </row>
    <row r="186">
      <c r="B186" s="103">
        <v>174</v>
      </c>
      <c r="C186" s="315"/>
      <c r="D186" s="326"/>
      <c r="E186" s="108" t="s">
        <v>124</v>
      </c>
      <c r="F186" s="340"/>
      <c r="G186" s="340"/>
      <c r="H186" s="340"/>
      <c r="I186" s="340"/>
      <c r="J186" s="108">
        <v>3</v>
      </c>
      <c r="K186" s="108">
        <v>33</v>
      </c>
      <c r="L186" s="108" t="s">
        <v>116</v>
      </c>
      <c r="M186" s="340"/>
      <c r="N186" s="340"/>
      <c r="O186" s="340"/>
      <c r="P186" s="340"/>
      <c r="Q186" s="345"/>
    </row>
    <row r="187">
      <c r="B187" s="103">
        <v>175</v>
      </c>
      <c r="C187" s="315"/>
      <c r="D187" s="326"/>
      <c r="E187" s="120" t="s">
        <v>125</v>
      </c>
      <c r="F187" s="340"/>
      <c r="G187" s="340"/>
      <c r="H187" s="340"/>
      <c r="I187" s="340"/>
      <c r="J187" s="108">
        <v>5</v>
      </c>
      <c r="K187" s="108">
        <v>32</v>
      </c>
      <c r="L187" s="108" t="s">
        <v>126</v>
      </c>
      <c r="M187" s="340"/>
      <c r="N187" s="340"/>
      <c r="O187" s="340"/>
      <c r="P187" s="340"/>
      <c r="Q187" s="345"/>
    </row>
    <row r="188">
      <c r="B188" s="103">
        <v>176</v>
      </c>
      <c r="C188" s="315"/>
      <c r="D188" s="343"/>
      <c r="E188" s="28" t="s">
        <v>127</v>
      </c>
      <c r="F188" s="341"/>
      <c r="G188" s="341"/>
      <c r="H188" s="341"/>
      <c r="I188" s="341"/>
      <c r="J188" s="125">
        <v>6</v>
      </c>
      <c r="K188" s="28">
        <v>0</v>
      </c>
      <c r="L188" s="125" t="s">
        <v>37</v>
      </c>
      <c r="M188" s="341"/>
      <c r="N188" s="341"/>
      <c r="O188" s="341"/>
      <c r="P188" s="341"/>
      <c r="Q188" s="346"/>
    </row>
    <row r="189">
      <c r="B189" s="103">
        <v>185</v>
      </c>
      <c r="C189" s="292" t="s">
        <v>155</v>
      </c>
      <c r="D189" s="286" t="s">
        <v>316</v>
      </c>
      <c r="E189" s="122" t="s">
        <v>156</v>
      </c>
      <c r="F189" s="265" t="s">
        <v>319</v>
      </c>
      <c r="G189" s="268" t="s">
        <v>37</v>
      </c>
      <c r="H189" s="269"/>
      <c r="I189" s="292"/>
      <c r="J189" s="122">
        <v>7</v>
      </c>
      <c r="K189" s="122">
        <v>32</v>
      </c>
      <c r="L189" s="122" t="s">
        <v>130</v>
      </c>
      <c r="M189" s="268" t="s">
        <v>97</v>
      </c>
      <c r="N189" s="269"/>
      <c r="O189" s="269"/>
      <c r="P189" s="269"/>
      <c r="Q189" s="270"/>
    </row>
    <row r="190">
      <c r="B190" s="103">
        <v>186</v>
      </c>
      <c r="C190" s="293"/>
      <c r="D190" s="287"/>
      <c r="E190" s="123" t="s">
        <v>157</v>
      </c>
      <c r="F190" s="266"/>
      <c r="G190" s="271"/>
      <c r="H190" s="272"/>
      <c r="I190" s="293"/>
      <c r="J190" s="123">
        <v>9</v>
      </c>
      <c r="K190" s="123">
        <v>34</v>
      </c>
      <c r="L190" s="123" t="s">
        <v>116</v>
      </c>
      <c r="M190" s="271"/>
      <c r="N190" s="272"/>
      <c r="O190" s="272"/>
      <c r="P190" s="272"/>
      <c r="Q190" s="273"/>
    </row>
    <row r="191">
      <c r="B191" s="103">
        <v>187</v>
      </c>
      <c r="C191" s="293"/>
      <c r="D191" s="287"/>
      <c r="E191" s="123" t="s">
        <v>158</v>
      </c>
      <c r="F191" s="266"/>
      <c r="G191" s="271"/>
      <c r="H191" s="272"/>
      <c r="I191" s="293"/>
      <c r="J191" s="123">
        <v>11</v>
      </c>
      <c r="K191" s="123">
        <v>31</v>
      </c>
      <c r="L191" s="123" t="s">
        <v>126</v>
      </c>
      <c r="M191" s="271"/>
      <c r="N191" s="272"/>
      <c r="O191" s="272"/>
      <c r="P191" s="272"/>
      <c r="Q191" s="273"/>
    </row>
    <row r="192">
      <c r="B192" s="103">
        <v>188</v>
      </c>
      <c r="C192" s="293"/>
      <c r="D192" s="288"/>
      <c r="E192" s="124" t="s">
        <v>159</v>
      </c>
      <c r="F192" s="267"/>
      <c r="G192" s="274"/>
      <c r="H192" s="275"/>
      <c r="I192" s="294"/>
      <c r="J192" s="124">
        <v>12</v>
      </c>
      <c r="K192" s="124">
        <v>0</v>
      </c>
      <c r="L192" s="124" t="s">
        <v>37</v>
      </c>
      <c r="M192" s="274"/>
      <c r="N192" s="275"/>
      <c r="O192" s="275"/>
      <c r="P192" s="275"/>
      <c r="Q192" s="276"/>
    </row>
    <row r="193">
      <c r="B193" s="103">
        <v>197</v>
      </c>
      <c r="C193" s="314" t="s">
        <v>128</v>
      </c>
      <c r="D193" s="261" t="s">
        <v>316</v>
      </c>
      <c r="E193" s="106" t="s">
        <v>129</v>
      </c>
      <c r="F193" s="303" t="s">
        <v>320</v>
      </c>
      <c r="G193" s="305" t="s">
        <v>37</v>
      </c>
      <c r="H193" s="306"/>
      <c r="I193" s="314"/>
      <c r="J193" s="106">
        <v>7</v>
      </c>
      <c r="K193" s="106">
        <v>32</v>
      </c>
      <c r="L193" s="106" t="s">
        <v>130</v>
      </c>
      <c r="M193" s="305" t="s">
        <v>97</v>
      </c>
      <c r="N193" s="306"/>
      <c r="O193" s="306"/>
      <c r="P193" s="306"/>
      <c r="Q193" s="307"/>
    </row>
    <row r="194">
      <c r="B194" s="103">
        <v>198</v>
      </c>
      <c r="C194" s="315"/>
      <c r="D194" s="326"/>
      <c r="E194" s="108" t="s">
        <v>132</v>
      </c>
      <c r="F194" s="317"/>
      <c r="G194" s="308"/>
      <c r="H194" s="309"/>
      <c r="I194" s="315"/>
      <c r="J194" s="108">
        <v>9</v>
      </c>
      <c r="K194" s="108">
        <v>31</v>
      </c>
      <c r="L194" s="108" t="s">
        <v>116</v>
      </c>
      <c r="M194" s="308"/>
      <c r="N194" s="309"/>
      <c r="O194" s="309"/>
      <c r="P194" s="309"/>
      <c r="Q194" s="310"/>
    </row>
    <row r="195">
      <c r="B195" s="103">
        <v>199</v>
      </c>
      <c r="C195" s="315"/>
      <c r="D195" s="326"/>
      <c r="E195" s="120" t="s">
        <v>134</v>
      </c>
      <c r="F195" s="317"/>
      <c r="G195" s="308"/>
      <c r="H195" s="309"/>
      <c r="I195" s="315"/>
      <c r="J195" s="108">
        <v>11</v>
      </c>
      <c r="K195" s="108">
        <v>32</v>
      </c>
      <c r="L195" s="108" t="s">
        <v>135</v>
      </c>
      <c r="M195" s="308"/>
      <c r="N195" s="309"/>
      <c r="O195" s="309"/>
      <c r="P195" s="309"/>
      <c r="Q195" s="310"/>
    </row>
    <row r="196">
      <c r="B196" s="103">
        <v>200</v>
      </c>
      <c r="C196" s="315"/>
      <c r="D196" s="262"/>
      <c r="E196" s="121" t="s">
        <v>136</v>
      </c>
      <c r="F196" s="304"/>
      <c r="G196" s="311"/>
      <c r="H196" s="312"/>
      <c r="I196" s="316"/>
      <c r="J196" s="110">
        <v>12</v>
      </c>
      <c r="K196" s="121">
        <v>0</v>
      </c>
      <c r="L196" s="110" t="s">
        <v>37</v>
      </c>
      <c r="M196" s="311"/>
      <c r="N196" s="312"/>
      <c r="O196" s="312"/>
      <c r="P196" s="312"/>
      <c r="Q196" s="313"/>
    </row>
    <row r="197">
      <c r="B197" s="103">
        <v>225</v>
      </c>
      <c r="C197" s="314" t="s">
        <v>137</v>
      </c>
      <c r="D197" s="261" t="s">
        <v>316</v>
      </c>
      <c r="E197" s="106" t="s">
        <v>138</v>
      </c>
      <c r="F197" s="263" t="s">
        <v>321</v>
      </c>
      <c r="G197" s="305" t="s">
        <v>37</v>
      </c>
      <c r="H197" s="306"/>
      <c r="I197" s="314"/>
      <c r="J197" s="106">
        <v>1</v>
      </c>
      <c r="K197" s="106">
        <v>0</v>
      </c>
      <c r="L197" s="106" t="s">
        <v>37</v>
      </c>
      <c r="M197" s="305" t="s">
        <v>97</v>
      </c>
      <c r="N197" s="306"/>
      <c r="O197" s="306"/>
      <c r="P197" s="306"/>
      <c r="Q197" s="307"/>
    </row>
    <row r="198">
      <c r="B198" s="103">
        <v>226</v>
      </c>
      <c r="C198" s="315"/>
      <c r="D198" s="262"/>
      <c r="E198" s="110" t="s">
        <v>140</v>
      </c>
      <c r="F198" s="264"/>
      <c r="G198" s="311"/>
      <c r="H198" s="312"/>
      <c r="I198" s="316"/>
      <c r="J198" s="110">
        <v>2</v>
      </c>
      <c r="K198" s="110">
        <v>0</v>
      </c>
      <c r="L198" s="110" t="s">
        <v>37</v>
      </c>
      <c r="M198" s="311"/>
      <c r="N198" s="312"/>
      <c r="O198" s="312"/>
      <c r="P198" s="312"/>
      <c r="Q198" s="313"/>
    </row>
    <row r="199">
      <c r="B199" s="103">
        <v>229</v>
      </c>
      <c r="C199" s="292" t="s">
        <v>160</v>
      </c>
      <c r="D199" s="286" t="s">
        <v>316</v>
      </c>
      <c r="E199" s="122" t="s">
        <v>161</v>
      </c>
      <c r="F199" s="289" t="s">
        <v>321</v>
      </c>
      <c r="G199" s="268" t="s">
        <v>37</v>
      </c>
      <c r="H199" s="269"/>
      <c r="I199" s="292"/>
      <c r="J199" s="122">
        <v>3</v>
      </c>
      <c r="K199" s="122">
        <v>0</v>
      </c>
      <c r="L199" s="122" t="s">
        <v>37</v>
      </c>
      <c r="M199" s="268" t="s">
        <v>97</v>
      </c>
      <c r="N199" s="269"/>
      <c r="O199" s="269"/>
      <c r="P199" s="269"/>
      <c r="Q199" s="270"/>
    </row>
    <row r="200">
      <c r="B200" s="103">
        <v>230</v>
      </c>
      <c r="C200" s="293"/>
      <c r="D200" s="288"/>
      <c r="E200" s="124" t="s">
        <v>162</v>
      </c>
      <c r="F200" s="291"/>
      <c r="G200" s="274"/>
      <c r="H200" s="275"/>
      <c r="I200" s="294"/>
      <c r="J200" s="124">
        <v>4</v>
      </c>
      <c r="K200" s="124">
        <v>0</v>
      </c>
      <c r="L200" s="124" t="s">
        <v>37</v>
      </c>
      <c r="M200" s="274"/>
      <c r="N200" s="275"/>
      <c r="O200" s="275"/>
      <c r="P200" s="275"/>
      <c r="Q200" s="276"/>
    </row>
    <row r="201">
      <c r="B201" s="102">
        <v>1</v>
      </c>
      <c r="C201" s="416" t="s">
        <v>322</v>
      </c>
      <c r="D201" s="367" t="s">
        <v>323</v>
      </c>
      <c r="E201" s="129" t="s">
        <v>187</v>
      </c>
      <c r="F201" s="266" t="s">
        <v>114</v>
      </c>
      <c r="G201" s="271" t="s">
        <v>37</v>
      </c>
      <c r="H201" s="272"/>
      <c r="I201" s="293"/>
      <c r="J201" s="129">
        <v>1</v>
      </c>
      <c r="K201" s="129">
        <v>3</v>
      </c>
      <c r="L201" s="129" t="s">
        <v>109</v>
      </c>
      <c r="M201" s="271" t="s">
        <v>97</v>
      </c>
      <c r="N201" s="272"/>
      <c r="O201" s="272"/>
      <c r="P201" s="272"/>
      <c r="Q201" s="273"/>
    </row>
    <row r="202">
      <c r="B202" s="103">
        <v>2</v>
      </c>
      <c r="C202" s="371"/>
      <c r="D202" s="287"/>
      <c r="E202" s="123" t="s">
        <v>189</v>
      </c>
      <c r="F202" s="266"/>
      <c r="G202" s="271"/>
      <c r="H202" s="272"/>
      <c r="I202" s="293"/>
      <c r="J202" s="123">
        <v>2</v>
      </c>
      <c r="K202" s="123">
        <v>3</v>
      </c>
      <c r="L202" s="123" t="s">
        <v>111</v>
      </c>
      <c r="M202" s="271"/>
      <c r="N202" s="272"/>
      <c r="O202" s="272"/>
      <c r="P202" s="272"/>
      <c r="Q202" s="273"/>
    </row>
    <row r="203">
      <c r="B203" s="103">
        <v>3</v>
      </c>
      <c r="C203" s="371"/>
      <c r="D203" s="287"/>
      <c r="E203" s="123" t="s">
        <v>191</v>
      </c>
      <c r="F203" s="266"/>
      <c r="G203" s="271"/>
      <c r="H203" s="272"/>
      <c r="I203" s="293"/>
      <c r="J203" s="123">
        <v>3</v>
      </c>
      <c r="K203" s="123">
        <v>3</v>
      </c>
      <c r="L203" s="123" t="s">
        <v>118</v>
      </c>
      <c r="M203" s="271"/>
      <c r="N203" s="272"/>
      <c r="O203" s="272"/>
      <c r="P203" s="272"/>
      <c r="Q203" s="273"/>
    </row>
    <row r="204">
      <c r="B204" s="103">
        <v>4</v>
      </c>
      <c r="C204" s="371"/>
      <c r="D204" s="288"/>
      <c r="E204" s="124" t="s">
        <v>35</v>
      </c>
      <c r="F204" s="267"/>
      <c r="G204" s="274"/>
      <c r="H204" s="275"/>
      <c r="I204" s="294"/>
      <c r="J204" s="124">
        <v>6</v>
      </c>
      <c r="K204" s="124">
        <v>0</v>
      </c>
      <c r="L204" s="124" t="s">
        <v>37</v>
      </c>
      <c r="M204" s="274"/>
      <c r="N204" s="275"/>
      <c r="O204" s="275"/>
      <c r="P204" s="275"/>
      <c r="Q204" s="276"/>
    </row>
    <row r="205">
      <c r="B205" s="103">
        <v>17</v>
      </c>
      <c r="C205" s="314" t="s">
        <v>324</v>
      </c>
      <c r="D205" s="261" t="s">
        <v>323</v>
      </c>
      <c r="E205" s="106" t="s">
        <v>187</v>
      </c>
      <c r="F205" s="303" t="s">
        <v>114</v>
      </c>
      <c r="G205" s="305" t="s">
        <v>37</v>
      </c>
      <c r="H205" s="306"/>
      <c r="I205" s="314"/>
      <c r="J205" s="106">
        <v>10</v>
      </c>
      <c r="K205" s="106">
        <v>1</v>
      </c>
      <c r="L205" s="72" t="s">
        <v>109</v>
      </c>
      <c r="M205" s="305" t="s">
        <v>97</v>
      </c>
      <c r="N205" s="306"/>
      <c r="O205" s="306"/>
      <c r="P205" s="306"/>
      <c r="Q205" s="307"/>
    </row>
    <row r="206">
      <c r="B206" s="103">
        <v>18</v>
      </c>
      <c r="C206" s="315"/>
      <c r="D206" s="326"/>
      <c r="E206" s="108" t="s">
        <v>189</v>
      </c>
      <c r="F206" s="317"/>
      <c r="G206" s="308"/>
      <c r="H206" s="309"/>
      <c r="I206" s="315"/>
      <c r="J206" s="108">
        <v>11</v>
      </c>
      <c r="K206" s="108">
        <v>1</v>
      </c>
      <c r="L206" s="41" t="s">
        <v>111</v>
      </c>
      <c r="M206" s="308"/>
      <c r="N206" s="309"/>
      <c r="O206" s="309"/>
      <c r="P206" s="309"/>
      <c r="Q206" s="310"/>
    </row>
    <row r="207">
      <c r="B207" s="103">
        <v>19</v>
      </c>
      <c r="C207" s="315"/>
      <c r="D207" s="326"/>
      <c r="E207" s="120" t="s">
        <v>191</v>
      </c>
      <c r="F207" s="317"/>
      <c r="G207" s="308"/>
      <c r="H207" s="309"/>
      <c r="I207" s="315"/>
      <c r="J207" s="108">
        <v>12</v>
      </c>
      <c r="K207" s="108">
        <v>1</v>
      </c>
      <c r="L207" s="41" t="s">
        <v>118</v>
      </c>
      <c r="M207" s="308"/>
      <c r="N207" s="309"/>
      <c r="O207" s="309"/>
      <c r="P207" s="309"/>
      <c r="Q207" s="310"/>
    </row>
    <row r="208">
      <c r="B208" s="103">
        <v>20</v>
      </c>
      <c r="C208" s="315"/>
      <c r="D208" s="262"/>
      <c r="E208" s="121" t="s">
        <v>35</v>
      </c>
      <c r="F208" s="304"/>
      <c r="G208" s="311"/>
      <c r="H208" s="312"/>
      <c r="I208" s="316"/>
      <c r="J208" s="110">
        <v>9</v>
      </c>
      <c r="K208" s="110"/>
      <c r="L208" s="110"/>
      <c r="M208" s="311"/>
      <c r="N208" s="312"/>
      <c r="O208" s="312"/>
      <c r="P208" s="312"/>
      <c r="Q208" s="313"/>
    </row>
    <row r="209">
      <c r="B209" s="103">
        <v>209</v>
      </c>
      <c r="C209" s="292" t="s">
        <v>203</v>
      </c>
      <c r="D209" s="286" t="s">
        <v>323</v>
      </c>
      <c r="E209" s="122" t="s">
        <v>204</v>
      </c>
      <c r="F209" s="289" t="s">
        <v>325</v>
      </c>
      <c r="G209" s="268" t="s">
        <v>37</v>
      </c>
      <c r="H209" s="269"/>
      <c r="I209" s="292"/>
      <c r="J209" s="122">
        <v>17</v>
      </c>
      <c r="K209" s="122">
        <v>0</v>
      </c>
      <c r="L209" s="122" t="s">
        <v>37</v>
      </c>
      <c r="M209" s="268" t="s">
        <v>97</v>
      </c>
      <c r="N209" s="269"/>
      <c r="O209" s="269"/>
      <c r="P209" s="269"/>
      <c r="Q209" s="270"/>
    </row>
    <row r="210">
      <c r="B210" s="103">
        <v>210</v>
      </c>
      <c r="C210" s="293"/>
      <c r="D210" s="288"/>
      <c r="E210" s="124" t="s">
        <v>206</v>
      </c>
      <c r="F210" s="291"/>
      <c r="G210" s="274"/>
      <c r="H210" s="275"/>
      <c r="I210" s="294"/>
      <c r="J210" s="124">
        <v>18</v>
      </c>
      <c r="K210" s="124">
        <v>0</v>
      </c>
      <c r="L210" s="124" t="s">
        <v>37</v>
      </c>
      <c r="M210" s="274"/>
      <c r="N210" s="275"/>
      <c r="O210" s="275"/>
      <c r="P210" s="275"/>
      <c r="Q210" s="276"/>
    </row>
    <row r="211">
      <c r="B211" s="103">
        <v>215</v>
      </c>
      <c r="C211" s="314" t="s">
        <v>234</v>
      </c>
      <c r="D211" s="261" t="s">
        <v>323</v>
      </c>
      <c r="E211" s="106" t="s">
        <v>235</v>
      </c>
      <c r="F211" s="263" t="s">
        <v>325</v>
      </c>
      <c r="G211" s="305" t="s">
        <v>37</v>
      </c>
      <c r="H211" s="306"/>
      <c r="I211" s="314"/>
      <c r="J211" s="106">
        <v>13</v>
      </c>
      <c r="K211" s="106">
        <v>0</v>
      </c>
      <c r="L211" s="106" t="s">
        <v>37</v>
      </c>
      <c r="M211" s="305" t="s">
        <v>97</v>
      </c>
      <c r="N211" s="306"/>
      <c r="O211" s="306"/>
      <c r="P211" s="306"/>
      <c r="Q211" s="307"/>
    </row>
    <row r="212">
      <c r="B212" s="103">
        <v>216</v>
      </c>
      <c r="C212" s="315"/>
      <c r="D212" s="262"/>
      <c r="E212" s="110" t="s">
        <v>236</v>
      </c>
      <c r="F212" s="264"/>
      <c r="G212" s="311"/>
      <c r="H212" s="312"/>
      <c r="I212" s="316"/>
      <c r="J212" s="110">
        <v>14</v>
      </c>
      <c r="K212" s="110">
        <v>0</v>
      </c>
      <c r="L212" s="110" t="s">
        <v>37</v>
      </c>
      <c r="M212" s="311"/>
      <c r="N212" s="312"/>
      <c r="O212" s="312"/>
      <c r="P212" s="312"/>
      <c r="Q212" s="313"/>
    </row>
    <row r="213">
      <c r="B213" s="103">
        <v>221</v>
      </c>
      <c r="C213" s="292" t="s">
        <v>199</v>
      </c>
      <c r="D213" s="286" t="s">
        <v>323</v>
      </c>
      <c r="E213" s="122" t="s">
        <v>200</v>
      </c>
      <c r="F213" s="289" t="s">
        <v>325</v>
      </c>
      <c r="G213" s="268" t="s">
        <v>37</v>
      </c>
      <c r="H213" s="269"/>
      <c r="I213" s="292"/>
      <c r="J213" s="122">
        <v>15</v>
      </c>
      <c r="K213" s="122">
        <v>0</v>
      </c>
      <c r="L213" s="122" t="s">
        <v>37</v>
      </c>
      <c r="M213" s="268" t="s">
        <v>97</v>
      </c>
      <c r="N213" s="269"/>
      <c r="O213" s="269"/>
      <c r="P213" s="269"/>
      <c r="Q213" s="270"/>
    </row>
    <row r="214">
      <c r="B214" s="103">
        <v>222</v>
      </c>
      <c r="C214" s="293"/>
      <c r="D214" s="288"/>
      <c r="E214" s="124" t="s">
        <v>202</v>
      </c>
      <c r="F214" s="291"/>
      <c r="G214" s="274"/>
      <c r="H214" s="275"/>
      <c r="I214" s="294"/>
      <c r="J214" s="124">
        <v>16</v>
      </c>
      <c r="K214" s="124">
        <v>0</v>
      </c>
      <c r="L214" s="124" t="s">
        <v>37</v>
      </c>
      <c r="M214" s="274"/>
      <c r="N214" s="275"/>
      <c r="O214" s="275"/>
      <c r="P214" s="275"/>
      <c r="Q214" s="276"/>
    </row>
    <row r="215">
      <c r="B215" s="103">
        <v>45</v>
      </c>
      <c r="C215" s="314" t="s">
        <v>326</v>
      </c>
      <c r="D215" s="261" t="s">
        <v>327</v>
      </c>
      <c r="E215" s="152" t="s">
        <v>328</v>
      </c>
      <c r="F215" s="261" t="s">
        <v>24</v>
      </c>
      <c r="G215" s="152"/>
      <c r="H215" s="152"/>
      <c r="I215" s="152"/>
      <c r="J215" s="22" t="s">
        <v>167</v>
      </c>
      <c r="K215" s="152">
        <v>14</v>
      </c>
      <c r="L215" s="152" t="s">
        <v>6</v>
      </c>
      <c r="M215" s="305" t="s">
        <v>97</v>
      </c>
      <c r="N215" s="306"/>
      <c r="O215" s="306"/>
      <c r="P215" s="306"/>
      <c r="Q215" s="307"/>
    </row>
    <row r="216">
      <c r="B216" s="103">
        <v>46</v>
      </c>
      <c r="C216" s="315"/>
      <c r="D216" s="326"/>
      <c r="E216" s="153" t="s">
        <v>329</v>
      </c>
      <c r="F216" s="326"/>
      <c r="G216" s="153"/>
      <c r="H216" s="153"/>
      <c r="I216" s="153"/>
      <c r="J216" s="18" t="s">
        <v>170</v>
      </c>
      <c r="K216" s="153">
        <v>14</v>
      </c>
      <c r="L216" s="153" t="s">
        <v>7</v>
      </c>
      <c r="M216" s="308"/>
      <c r="N216" s="309"/>
      <c r="O216" s="309"/>
      <c r="P216" s="309"/>
      <c r="Q216" s="310"/>
    </row>
    <row r="217">
      <c r="B217" s="103">
        <v>47</v>
      </c>
      <c r="C217" s="315"/>
      <c r="D217" s="326"/>
      <c r="E217" s="159" t="s">
        <v>330</v>
      </c>
      <c r="F217" s="326"/>
      <c r="G217" s="153"/>
      <c r="H217" s="153"/>
      <c r="I217" s="153"/>
      <c r="J217" s="18" t="s">
        <v>173</v>
      </c>
      <c r="K217" s="153">
        <v>14</v>
      </c>
      <c r="L217" s="153" t="s">
        <v>8</v>
      </c>
      <c r="M217" s="308"/>
      <c r="N217" s="309"/>
      <c r="O217" s="309"/>
      <c r="P217" s="309"/>
      <c r="Q217" s="310"/>
    </row>
    <row r="218" ht="45">
      <c r="B218" s="103">
        <v>48</v>
      </c>
      <c r="C218" s="315"/>
      <c r="D218" s="343"/>
      <c r="E218" s="28" t="s">
        <v>119</v>
      </c>
      <c r="F218" s="343"/>
      <c r="G218" s="154"/>
      <c r="H218" s="154"/>
      <c r="I218" s="154"/>
      <c r="J218" s="79" t="s">
        <v>331</v>
      </c>
      <c r="K218" s="154">
        <v>0</v>
      </c>
      <c r="L218" s="154" t="s">
        <v>37</v>
      </c>
      <c r="M218" s="308"/>
      <c r="N218" s="309"/>
      <c r="O218" s="309"/>
      <c r="P218" s="309"/>
      <c r="Q218" s="310"/>
    </row>
    <row r="219">
      <c r="B219" s="103">
        <v>81</v>
      </c>
      <c r="C219" s="314" t="s">
        <v>332</v>
      </c>
      <c r="D219" s="261" t="s">
        <v>333</v>
      </c>
      <c r="E219" s="152" t="s">
        <v>300</v>
      </c>
      <c r="F219" s="263" t="s">
        <v>24</v>
      </c>
      <c r="G219" s="152"/>
      <c r="H219" s="152"/>
      <c r="I219" s="152"/>
      <c r="J219" s="22" t="s">
        <v>169</v>
      </c>
      <c r="K219" s="152"/>
      <c r="L219" s="152"/>
      <c r="M219" s="305" t="s">
        <v>97</v>
      </c>
      <c r="N219" s="306"/>
      <c r="O219" s="306"/>
      <c r="P219" s="306"/>
      <c r="Q219" s="307"/>
    </row>
    <row r="220">
      <c r="B220" s="103">
        <v>82</v>
      </c>
      <c r="C220" s="315"/>
      <c r="D220" s="326"/>
      <c r="E220" s="153" t="s">
        <v>301</v>
      </c>
      <c r="F220" s="337"/>
      <c r="G220" s="153"/>
      <c r="H220" s="153"/>
      <c r="I220" s="153"/>
      <c r="J220" s="18" t="s">
        <v>172</v>
      </c>
      <c r="K220" s="153"/>
      <c r="L220" s="153"/>
      <c r="M220" s="308"/>
      <c r="N220" s="309"/>
      <c r="O220" s="309"/>
      <c r="P220" s="309"/>
      <c r="Q220" s="310"/>
    </row>
    <row r="221">
      <c r="B221" s="103">
        <v>83</v>
      </c>
      <c r="C221" s="315"/>
      <c r="D221" s="326"/>
      <c r="E221" s="159" t="s">
        <v>302</v>
      </c>
      <c r="F221" s="337"/>
      <c r="G221" s="153"/>
      <c r="H221" s="153"/>
      <c r="I221" s="153"/>
      <c r="J221" s="18" t="s">
        <v>174</v>
      </c>
      <c r="K221" s="153"/>
      <c r="L221" s="153"/>
      <c r="M221" s="308"/>
      <c r="N221" s="309"/>
      <c r="O221" s="309"/>
      <c r="P221" s="309"/>
      <c r="Q221" s="310"/>
    </row>
    <row r="222" ht="45">
      <c r="B222" s="103">
        <v>84</v>
      </c>
      <c r="C222" s="315"/>
      <c r="D222" s="262"/>
      <c r="E222" s="160" t="s">
        <v>303</v>
      </c>
      <c r="F222" s="264"/>
      <c r="G222" s="155"/>
      <c r="H222" s="155"/>
      <c r="I222" s="155"/>
      <c r="J222" s="24" t="s">
        <v>334</v>
      </c>
      <c r="K222" s="155"/>
      <c r="L222" s="155"/>
      <c r="M222" s="311"/>
      <c r="N222" s="312"/>
      <c r="O222" s="312"/>
      <c r="P222" s="312"/>
      <c r="Q222" s="313"/>
    </row>
    <row r="223">
      <c r="B223" s="103">
        <v>233</v>
      </c>
      <c r="C223" s="314" t="s">
        <v>335</v>
      </c>
      <c r="D223" s="261" t="s">
        <v>333</v>
      </c>
      <c r="E223" s="152" t="s">
        <v>28</v>
      </c>
      <c r="F223" s="263" t="s">
        <v>24</v>
      </c>
      <c r="G223" s="305" t="s">
        <v>37</v>
      </c>
      <c r="H223" s="306"/>
      <c r="I223" s="314"/>
      <c r="J223" s="22" t="s">
        <v>336</v>
      </c>
      <c r="K223" s="152"/>
      <c r="L223" s="152"/>
      <c r="M223" s="305" t="s">
        <v>97</v>
      </c>
      <c r="N223" s="306"/>
      <c r="O223" s="306"/>
      <c r="P223" s="306"/>
      <c r="Q223" s="307"/>
    </row>
    <row r="224">
      <c r="B224" s="103">
        <v>234</v>
      </c>
      <c r="C224" s="315"/>
      <c r="D224" s="326"/>
      <c r="E224" s="153" t="s">
        <v>31</v>
      </c>
      <c r="F224" s="337"/>
      <c r="G224" s="308"/>
      <c r="H224" s="309"/>
      <c r="I224" s="315"/>
      <c r="J224" s="18" t="s">
        <v>337</v>
      </c>
      <c r="K224" s="153"/>
      <c r="L224" s="153"/>
      <c r="M224" s="308"/>
      <c r="N224" s="309"/>
      <c r="O224" s="309"/>
      <c r="P224" s="309"/>
      <c r="Q224" s="310"/>
    </row>
    <row r="225">
      <c r="B225" s="103">
        <v>235</v>
      </c>
      <c r="C225" s="315"/>
      <c r="D225" s="326"/>
      <c r="E225" s="159" t="s">
        <v>33</v>
      </c>
      <c r="F225" s="337"/>
      <c r="G225" s="308"/>
      <c r="H225" s="309"/>
      <c r="I225" s="315"/>
      <c r="J225" s="18" t="s">
        <v>338</v>
      </c>
      <c r="K225" s="153"/>
      <c r="L225" s="153"/>
      <c r="M225" s="308"/>
      <c r="N225" s="309"/>
      <c r="O225" s="309"/>
      <c r="P225" s="309"/>
      <c r="Q225" s="310"/>
    </row>
    <row r="226" ht="45">
      <c r="B226" s="103">
        <v>236</v>
      </c>
      <c r="C226" s="315"/>
      <c r="D226" s="262"/>
      <c r="E226" s="160" t="s">
        <v>35</v>
      </c>
      <c r="F226" s="264"/>
      <c r="G226" s="311"/>
      <c r="H226" s="312"/>
      <c r="I226" s="316"/>
      <c r="J226" s="24" t="s">
        <v>339</v>
      </c>
      <c r="K226" s="155"/>
      <c r="L226" s="155"/>
      <c r="M226" s="311"/>
      <c r="N226" s="312"/>
      <c r="O226" s="312"/>
      <c r="P226" s="312"/>
      <c r="Q226" s="313"/>
    </row>
    <row r="227">
      <c r="B227" s="103">
        <v>249</v>
      </c>
      <c r="C227" s="292" t="s">
        <v>227</v>
      </c>
      <c r="D227" s="286" t="s">
        <v>333</v>
      </c>
      <c r="E227" s="149" t="s">
        <v>228</v>
      </c>
      <c r="F227" s="289" t="s">
        <v>24</v>
      </c>
      <c r="G227" s="268" t="s">
        <v>37</v>
      </c>
      <c r="H227" s="269"/>
      <c r="I227" s="292"/>
      <c r="J227" s="95" t="s">
        <v>336</v>
      </c>
      <c r="K227" s="149"/>
      <c r="L227" s="149"/>
      <c r="M227" s="268" t="s">
        <v>97</v>
      </c>
      <c r="N227" s="269"/>
      <c r="O227" s="269"/>
      <c r="P227" s="269"/>
      <c r="Q227" s="270"/>
    </row>
    <row r="228">
      <c r="B228" s="103">
        <v>250</v>
      </c>
      <c r="C228" s="293"/>
      <c r="D228" s="287"/>
      <c r="E228" s="150" t="s">
        <v>229</v>
      </c>
      <c r="F228" s="290"/>
      <c r="G228" s="271"/>
      <c r="H228" s="272"/>
      <c r="I228" s="293"/>
      <c r="J228" s="96" t="s">
        <v>337</v>
      </c>
      <c r="K228" s="150"/>
      <c r="L228" s="150"/>
      <c r="M228" s="271"/>
      <c r="N228" s="272"/>
      <c r="O228" s="272"/>
      <c r="P228" s="272"/>
      <c r="Q228" s="273"/>
    </row>
    <row r="229">
      <c r="B229" s="103">
        <v>251</v>
      </c>
      <c r="C229" s="293"/>
      <c r="D229" s="287"/>
      <c r="E229" s="150" t="s">
        <v>230</v>
      </c>
      <c r="F229" s="290"/>
      <c r="G229" s="271"/>
      <c r="H229" s="272"/>
      <c r="I229" s="293"/>
      <c r="J229" s="96" t="s">
        <v>338</v>
      </c>
      <c r="K229" s="150"/>
      <c r="L229" s="150"/>
      <c r="M229" s="271"/>
      <c r="N229" s="272"/>
      <c r="O229" s="272"/>
      <c r="P229" s="272"/>
      <c r="Q229" s="273"/>
    </row>
    <row r="230" ht="45">
      <c r="B230" s="103">
        <v>252</v>
      </c>
      <c r="C230" s="293"/>
      <c r="D230" s="288"/>
      <c r="E230" s="151" t="s">
        <v>214</v>
      </c>
      <c r="F230" s="291"/>
      <c r="G230" s="274"/>
      <c r="H230" s="275"/>
      <c r="I230" s="294"/>
      <c r="J230" s="97" t="s">
        <v>339</v>
      </c>
      <c r="K230" s="151"/>
      <c r="L230" s="151"/>
      <c r="M230" s="274"/>
      <c r="N230" s="275"/>
      <c r="O230" s="275"/>
      <c r="P230" s="275"/>
      <c r="Q230" s="276"/>
    </row>
    <row r="231">
      <c r="B231" s="103">
        <v>245</v>
      </c>
      <c r="C231" s="324" t="s">
        <v>225</v>
      </c>
      <c r="D231" s="261" t="s">
        <v>340</v>
      </c>
      <c r="E231" s="152" t="s">
        <v>70</v>
      </c>
      <c r="F231" s="303" t="s">
        <v>24</v>
      </c>
      <c r="G231" s="158" t="s">
        <v>341</v>
      </c>
      <c r="H231" s="158"/>
      <c r="I231" s="158"/>
      <c r="J231" s="328" t="s">
        <v>37</v>
      </c>
      <c r="K231" s="329"/>
      <c r="L231" s="330"/>
      <c r="M231" s="303"/>
      <c r="N231" s="36"/>
      <c r="O231" s="152"/>
      <c r="P231" s="152"/>
      <c r="Q231" s="32"/>
    </row>
    <row r="232">
      <c r="B232" s="103">
        <v>246</v>
      </c>
      <c r="C232" s="324"/>
      <c r="D232" s="326"/>
      <c r="E232" s="153" t="s">
        <v>342</v>
      </c>
      <c r="F232" s="317"/>
      <c r="G232" s="159" t="s">
        <v>343</v>
      </c>
      <c r="H232" s="159"/>
      <c r="I232" s="159"/>
      <c r="J232" s="331"/>
      <c r="K232" s="332"/>
      <c r="L232" s="333"/>
      <c r="M232" s="317"/>
      <c r="N232" s="37"/>
      <c r="O232" s="153"/>
      <c r="P232" s="153"/>
      <c r="Q232" s="33"/>
    </row>
    <row r="233">
      <c r="B233" s="103">
        <v>247</v>
      </c>
      <c r="C233" s="324"/>
      <c r="D233" s="326"/>
      <c r="E233" s="159" t="s">
        <v>344</v>
      </c>
      <c r="F233" s="317"/>
      <c r="G233" s="159" t="s">
        <v>345</v>
      </c>
      <c r="H233" s="159"/>
      <c r="I233" s="159"/>
      <c r="J233" s="331"/>
      <c r="K233" s="332"/>
      <c r="L233" s="333"/>
      <c r="M233" s="317"/>
      <c r="N233" s="37"/>
      <c r="O233" s="153"/>
      <c r="P233" s="153"/>
      <c r="Q233" s="33"/>
    </row>
    <row r="234">
      <c r="B234" s="103">
        <v>248</v>
      </c>
      <c r="C234" s="325"/>
      <c r="D234" s="262"/>
      <c r="E234" s="160" t="s">
        <v>346</v>
      </c>
      <c r="F234" s="304"/>
      <c r="G234" s="160" t="s">
        <v>347</v>
      </c>
      <c r="H234" s="160"/>
      <c r="I234" s="160"/>
      <c r="J234" s="334"/>
      <c r="K234" s="335"/>
      <c r="L234" s="336"/>
      <c r="M234" s="304"/>
      <c r="N234" s="277" t="s">
        <v>37</v>
      </c>
      <c r="O234" s="278"/>
      <c r="P234" s="278"/>
      <c r="Q234" s="279"/>
    </row>
    <row r="235">
      <c r="B235" s="103">
        <v>261</v>
      </c>
      <c r="C235" s="394" t="s">
        <v>227</v>
      </c>
      <c r="D235" s="286" t="s">
        <v>340</v>
      </c>
      <c r="E235" s="149" t="s">
        <v>348</v>
      </c>
      <c r="F235" s="265" t="s">
        <v>24</v>
      </c>
      <c r="G235" s="149" t="s">
        <v>349</v>
      </c>
      <c r="H235" s="149"/>
      <c r="I235" s="149"/>
      <c r="J235" s="280" t="s">
        <v>37</v>
      </c>
      <c r="K235" s="298"/>
      <c r="L235" s="299"/>
      <c r="M235" s="280" t="s">
        <v>37</v>
      </c>
      <c r="N235" s="95"/>
      <c r="O235" s="149"/>
      <c r="P235" s="149"/>
      <c r="Q235" s="98"/>
    </row>
    <row r="236">
      <c r="B236" s="103">
        <v>262</v>
      </c>
      <c r="C236" s="395"/>
      <c r="D236" s="287"/>
      <c r="E236" s="150" t="s">
        <v>350</v>
      </c>
      <c r="F236" s="266"/>
      <c r="G236" s="150" t="s">
        <v>351</v>
      </c>
      <c r="H236" s="150"/>
      <c r="I236" s="150"/>
      <c r="J236" s="281"/>
      <c r="K236" s="300"/>
      <c r="L236" s="301"/>
      <c r="M236" s="281"/>
      <c r="N236" s="96"/>
      <c r="O236" s="150"/>
      <c r="P236" s="150"/>
      <c r="Q236" s="99"/>
    </row>
    <row r="237">
      <c r="B237" s="103">
        <v>263</v>
      </c>
      <c r="C237" s="395"/>
      <c r="D237" s="287"/>
      <c r="E237" s="150" t="s">
        <v>352</v>
      </c>
      <c r="F237" s="266"/>
      <c r="G237" s="150" t="s">
        <v>353</v>
      </c>
      <c r="H237" s="150"/>
      <c r="I237" s="150"/>
      <c r="J237" s="281"/>
      <c r="K237" s="300"/>
      <c r="L237" s="301"/>
      <c r="M237" s="281"/>
      <c r="N237" s="96"/>
      <c r="O237" s="150"/>
      <c r="P237" s="150"/>
      <c r="Q237" s="99"/>
    </row>
    <row r="238">
      <c r="B238" s="104">
        <v>264</v>
      </c>
      <c r="C238" s="396"/>
      <c r="D238" s="288"/>
      <c r="E238" s="151" t="s">
        <v>354</v>
      </c>
      <c r="F238" s="267"/>
      <c r="G238" s="151" t="s">
        <v>355</v>
      </c>
      <c r="H238" s="151"/>
      <c r="I238" s="151"/>
      <c r="J238" s="282"/>
      <c r="K238" s="296"/>
      <c r="L238" s="302"/>
      <c r="M238" s="282"/>
      <c r="N238" s="283" t="s">
        <v>37</v>
      </c>
      <c r="O238" s="284"/>
      <c r="P238" s="284"/>
      <c r="Q238" s="285"/>
    </row>
    <row r="239">
      <c r="B239" s="103">
        <v>13</v>
      </c>
      <c r="C239" s="397" t="s">
        <v>26</v>
      </c>
      <c r="D239" s="286" t="s">
        <v>356</v>
      </c>
      <c r="E239" s="149" t="s">
        <v>70</v>
      </c>
      <c r="F239" s="265" t="s">
        <v>357</v>
      </c>
      <c r="G239" s="149">
        <v>1</v>
      </c>
      <c r="H239" s="149"/>
      <c r="I239" s="149"/>
      <c r="J239" s="149"/>
      <c r="K239" s="149"/>
      <c r="L239" s="149"/>
      <c r="M239" s="265" t="s">
        <v>358</v>
      </c>
      <c r="N239" s="149">
        <v>2</v>
      </c>
      <c r="O239" s="149">
        <v>4</v>
      </c>
      <c r="P239" s="149"/>
      <c r="Q239" s="161"/>
    </row>
    <row r="240">
      <c r="B240" s="103">
        <v>14</v>
      </c>
      <c r="C240" s="398"/>
      <c r="D240" s="287"/>
      <c r="E240" s="150" t="s">
        <v>342</v>
      </c>
      <c r="F240" s="266"/>
      <c r="G240" s="150">
        <v>2</v>
      </c>
      <c r="H240" s="150"/>
      <c r="I240" s="150"/>
      <c r="J240" s="150"/>
      <c r="K240" s="150"/>
      <c r="L240" s="150"/>
      <c r="M240" s="266"/>
      <c r="N240" s="150">
        <v>6</v>
      </c>
      <c r="O240" s="150">
        <v>8</v>
      </c>
      <c r="P240" s="150"/>
      <c r="Q240" s="162"/>
    </row>
    <row r="241">
      <c r="B241" s="103">
        <v>15</v>
      </c>
      <c r="C241" s="398"/>
      <c r="D241" s="287"/>
      <c r="E241" s="150" t="s">
        <v>344</v>
      </c>
      <c r="F241" s="266"/>
      <c r="G241" s="150">
        <v>3</v>
      </c>
      <c r="H241" s="150"/>
      <c r="I241" s="150"/>
      <c r="J241" s="150"/>
      <c r="K241" s="150"/>
      <c r="L241" s="150"/>
      <c r="M241" s="295"/>
      <c r="N241" s="150">
        <v>10</v>
      </c>
      <c r="O241" s="150">
        <v>12</v>
      </c>
      <c r="P241" s="150"/>
      <c r="Q241" s="162"/>
    </row>
    <row r="242">
      <c r="B242" s="103">
        <v>16</v>
      </c>
      <c r="C242" s="399"/>
      <c r="D242" s="288"/>
      <c r="E242" s="151" t="s">
        <v>35</v>
      </c>
      <c r="F242" s="267"/>
      <c r="G242" s="151">
        <v>4</v>
      </c>
      <c r="H242" s="151"/>
      <c r="I242" s="151"/>
      <c r="J242" s="151"/>
      <c r="K242" s="151"/>
      <c r="L242" s="151"/>
      <c r="M242" s="274" t="s">
        <v>37</v>
      </c>
      <c r="N242" s="275"/>
      <c r="O242" s="275"/>
      <c r="P242" s="275"/>
      <c r="Q242" s="276"/>
    </row>
    <row r="243">
      <c r="B243" s="103">
        <v>49</v>
      </c>
      <c r="C243" s="315" t="s">
        <v>163</v>
      </c>
      <c r="D243" s="261" t="s">
        <v>356</v>
      </c>
      <c r="E243" s="152" t="s">
        <v>108</v>
      </c>
      <c r="F243" s="339" t="s">
        <v>359</v>
      </c>
      <c r="G243" s="152" t="s">
        <v>360</v>
      </c>
      <c r="H243" s="152">
        <v>14</v>
      </c>
      <c r="I243" s="152" t="s">
        <v>6</v>
      </c>
      <c r="J243" s="22" t="s">
        <v>361</v>
      </c>
      <c r="K243" s="152"/>
      <c r="L243" s="152"/>
      <c r="M243" s="339" t="s">
        <v>259</v>
      </c>
      <c r="N243" s="158">
        <v>2</v>
      </c>
      <c r="O243" s="158">
        <v>4</v>
      </c>
      <c r="P243" s="45"/>
      <c r="Q243" s="156"/>
    </row>
    <row r="244" ht="15" customHeight="1">
      <c r="B244" s="103">
        <v>50</v>
      </c>
      <c r="C244" s="315"/>
      <c r="D244" s="326"/>
      <c r="E244" s="153" t="s">
        <v>110</v>
      </c>
      <c r="F244" s="340"/>
      <c r="G244" s="153" t="s">
        <v>362</v>
      </c>
      <c r="H244" s="153">
        <v>14</v>
      </c>
      <c r="I244" s="153" t="s">
        <v>7</v>
      </c>
      <c r="J244" s="18" t="s">
        <v>363</v>
      </c>
      <c r="K244" s="153"/>
      <c r="L244" s="153"/>
      <c r="M244" s="340"/>
      <c r="N244" s="159">
        <v>6</v>
      </c>
      <c r="O244" s="159">
        <v>8</v>
      </c>
      <c r="P244" s="19"/>
      <c r="Q244" s="157"/>
    </row>
    <row r="245">
      <c r="B245" s="103">
        <v>51</v>
      </c>
      <c r="C245" s="315"/>
      <c r="D245" s="326"/>
      <c r="E245" s="159" t="s">
        <v>117</v>
      </c>
      <c r="F245" s="340"/>
      <c r="G245" s="153" t="s">
        <v>364</v>
      </c>
      <c r="H245" s="153">
        <v>14</v>
      </c>
      <c r="I245" s="153" t="s">
        <v>8</v>
      </c>
      <c r="J245" s="18" t="s">
        <v>365</v>
      </c>
      <c r="K245" s="153"/>
      <c r="L245" s="153"/>
      <c r="M245" s="340"/>
      <c r="N245" s="159">
        <v>10</v>
      </c>
      <c r="O245" s="159">
        <v>12</v>
      </c>
      <c r="P245" s="19"/>
      <c r="Q245" s="157"/>
    </row>
    <row r="246">
      <c r="B246" s="103">
        <v>52</v>
      </c>
      <c r="C246" s="315"/>
      <c r="D246" s="262"/>
      <c r="E246" s="160" t="s">
        <v>119</v>
      </c>
      <c r="F246" s="342"/>
      <c r="G246" s="160" t="s">
        <v>366</v>
      </c>
      <c r="H246" s="160">
        <v>0</v>
      </c>
      <c r="I246" s="160" t="s">
        <v>37</v>
      </c>
      <c r="J246" s="163" t="s">
        <v>367</v>
      </c>
      <c r="K246" s="160"/>
      <c r="L246" s="160"/>
      <c r="M246" s="357" t="s">
        <v>37</v>
      </c>
      <c r="N246" s="357"/>
      <c r="O246" s="357"/>
      <c r="P246" s="357"/>
      <c r="Q246" s="358"/>
    </row>
    <row r="247">
      <c r="B247" s="103">
        <v>85</v>
      </c>
      <c r="C247" s="315" t="s">
        <v>175</v>
      </c>
      <c r="D247" s="261" t="s">
        <v>356</v>
      </c>
      <c r="E247" s="152" t="s">
        <v>300</v>
      </c>
      <c r="F247" s="303" t="s">
        <v>368</v>
      </c>
      <c r="G247" s="152" t="s">
        <v>369</v>
      </c>
      <c r="H247" s="152">
        <v>14</v>
      </c>
      <c r="I247" s="152" t="s">
        <v>6</v>
      </c>
      <c r="J247" s="22" t="s">
        <v>370</v>
      </c>
      <c r="K247" s="152"/>
      <c r="L247" s="152"/>
      <c r="M247" s="303" t="s">
        <v>259</v>
      </c>
      <c r="N247" s="158">
        <v>2</v>
      </c>
      <c r="O247" s="158">
        <v>4</v>
      </c>
      <c r="P247" s="152"/>
      <c r="Q247" s="156"/>
    </row>
    <row r="248" ht="15" customHeight="1">
      <c r="B248" s="103">
        <v>86</v>
      </c>
      <c r="C248" s="315"/>
      <c r="D248" s="326"/>
      <c r="E248" s="153" t="s">
        <v>301</v>
      </c>
      <c r="F248" s="317"/>
      <c r="G248" s="153" t="s">
        <v>371</v>
      </c>
      <c r="H248" s="153">
        <v>14</v>
      </c>
      <c r="I248" s="153" t="s">
        <v>133</v>
      </c>
      <c r="J248" s="18" t="s">
        <v>372</v>
      </c>
      <c r="K248" s="153"/>
      <c r="L248" s="153"/>
      <c r="M248" s="317"/>
      <c r="N248" s="159">
        <v>6</v>
      </c>
      <c r="O248" s="159">
        <v>8</v>
      </c>
      <c r="P248" s="153"/>
      <c r="Q248" s="157"/>
    </row>
    <row r="249">
      <c r="B249" s="103">
        <v>87</v>
      </c>
      <c r="C249" s="315"/>
      <c r="D249" s="326"/>
      <c r="E249" s="159" t="s">
        <v>302</v>
      </c>
      <c r="F249" s="317"/>
      <c r="G249" s="153" t="s">
        <v>373</v>
      </c>
      <c r="H249" s="153">
        <v>14</v>
      </c>
      <c r="I249" s="153" t="s">
        <v>8</v>
      </c>
      <c r="J249" s="18" t="s">
        <v>374</v>
      </c>
      <c r="K249" s="153"/>
      <c r="L249" s="153"/>
      <c r="M249" s="317"/>
      <c r="N249" s="159">
        <v>10</v>
      </c>
      <c r="O249" s="159">
        <v>12</v>
      </c>
      <c r="P249" s="153"/>
      <c r="Q249" s="157"/>
    </row>
    <row r="250">
      <c r="B250" s="103">
        <v>88</v>
      </c>
      <c r="C250" s="315"/>
      <c r="D250" s="262"/>
      <c r="E250" s="160" t="s">
        <v>303</v>
      </c>
      <c r="F250" s="304"/>
      <c r="G250" s="160" t="s">
        <v>375</v>
      </c>
      <c r="H250" s="160">
        <v>0</v>
      </c>
      <c r="I250" s="160" t="s">
        <v>37</v>
      </c>
      <c r="J250" s="163" t="s">
        <v>376</v>
      </c>
      <c r="K250" s="160"/>
      <c r="L250" s="160"/>
      <c r="M250" s="304"/>
      <c r="N250" s="318" t="s">
        <v>37</v>
      </c>
      <c r="O250" s="319"/>
      <c r="P250" s="319"/>
      <c r="Q250" s="320"/>
    </row>
    <row r="251">
      <c r="B251" s="103">
        <v>29</v>
      </c>
      <c r="C251" s="324" t="s">
        <v>58</v>
      </c>
      <c r="D251" s="261" t="s">
        <v>377</v>
      </c>
      <c r="E251" s="152" t="s">
        <v>91</v>
      </c>
      <c r="F251" s="303" t="s">
        <v>357</v>
      </c>
      <c r="G251" s="158">
        <v>1</v>
      </c>
      <c r="H251" s="152"/>
      <c r="I251" s="152"/>
      <c r="J251" s="158">
        <v>5</v>
      </c>
      <c r="K251" s="152"/>
      <c r="L251" s="152"/>
      <c r="M251" s="303" t="s">
        <v>358</v>
      </c>
      <c r="N251" s="158">
        <v>2</v>
      </c>
      <c r="O251" s="158">
        <v>4</v>
      </c>
      <c r="P251" s="152"/>
      <c r="Q251" s="156"/>
    </row>
    <row r="252">
      <c r="B252" s="103">
        <v>30</v>
      </c>
      <c r="C252" s="324"/>
      <c r="D252" s="326"/>
      <c r="E252" s="153" t="s">
        <v>93</v>
      </c>
      <c r="F252" s="317"/>
      <c r="G252" s="159">
        <v>2</v>
      </c>
      <c r="H252" s="153"/>
      <c r="I252" s="153"/>
      <c r="J252" s="159">
        <v>6</v>
      </c>
      <c r="K252" s="153"/>
      <c r="L252" s="153"/>
      <c r="M252" s="317"/>
      <c r="N252" s="159">
        <v>6</v>
      </c>
      <c r="O252" s="159">
        <v>8</v>
      </c>
      <c r="P252" s="153"/>
      <c r="Q252" s="157"/>
    </row>
    <row r="253">
      <c r="B253" s="103">
        <v>31</v>
      </c>
      <c r="C253" s="324"/>
      <c r="D253" s="326"/>
      <c r="E253" s="159" t="s">
        <v>94</v>
      </c>
      <c r="F253" s="317"/>
      <c r="G253" s="159">
        <v>3</v>
      </c>
      <c r="H253" s="153"/>
      <c r="I253" s="153"/>
      <c r="J253" s="159">
        <v>7</v>
      </c>
      <c r="K253" s="153"/>
      <c r="L253" s="153"/>
      <c r="M253" s="359"/>
      <c r="N253" s="159">
        <v>10</v>
      </c>
      <c r="O253" s="159">
        <v>12</v>
      </c>
      <c r="P253" s="153"/>
      <c r="Q253" s="157"/>
    </row>
    <row r="254">
      <c r="B254" s="103">
        <v>32</v>
      </c>
      <c r="C254" s="324"/>
      <c r="D254" s="262"/>
      <c r="E254" s="160" t="s">
        <v>63</v>
      </c>
      <c r="F254" s="304"/>
      <c r="G254" s="160">
        <v>4</v>
      </c>
      <c r="H254" s="155"/>
      <c r="I254" s="155"/>
      <c r="J254" s="155">
        <v>4</v>
      </c>
      <c r="K254" s="155"/>
      <c r="L254" s="155"/>
      <c r="M254" s="311" t="s">
        <v>37</v>
      </c>
      <c r="N254" s="312"/>
      <c r="O254" s="312"/>
      <c r="P254" s="312"/>
      <c r="Q254" s="313"/>
    </row>
    <row r="255">
      <c r="B255" s="103">
        <v>241</v>
      </c>
      <c r="C255" s="315" t="s">
        <v>378</v>
      </c>
      <c r="D255" s="261" t="s">
        <v>377</v>
      </c>
      <c r="E255" s="152" t="s">
        <v>379</v>
      </c>
      <c r="F255" s="303" t="s">
        <v>359</v>
      </c>
      <c r="G255" s="158" t="s">
        <v>360</v>
      </c>
      <c r="H255" s="158"/>
      <c r="I255" s="158"/>
      <c r="J255" s="36" t="s">
        <v>361</v>
      </c>
      <c r="K255" s="158"/>
      <c r="L255" s="158"/>
      <c r="M255" s="303" t="s">
        <v>380</v>
      </c>
      <c r="N255" s="36">
        <v>2</v>
      </c>
      <c r="O255" s="152">
        <v>4</v>
      </c>
      <c r="P255" s="152"/>
      <c r="Q255" s="32"/>
    </row>
    <row r="256" ht="15" customHeight="1">
      <c r="B256" s="103">
        <v>242</v>
      </c>
      <c r="C256" s="315"/>
      <c r="D256" s="326"/>
      <c r="E256" s="153" t="s">
        <v>73</v>
      </c>
      <c r="F256" s="317"/>
      <c r="G256" s="159" t="s">
        <v>362</v>
      </c>
      <c r="H256" s="159"/>
      <c r="I256" s="159"/>
      <c r="J256" s="37" t="s">
        <v>363</v>
      </c>
      <c r="K256" s="159"/>
      <c r="L256" s="159"/>
      <c r="M256" s="317"/>
      <c r="N256" s="37">
        <v>6</v>
      </c>
      <c r="O256" s="153">
        <v>8</v>
      </c>
      <c r="P256" s="153"/>
      <c r="Q256" s="33"/>
    </row>
    <row r="257">
      <c r="B257" s="103">
        <v>243</v>
      </c>
      <c r="C257" s="315"/>
      <c r="D257" s="326"/>
      <c r="E257" s="159" t="s">
        <v>74</v>
      </c>
      <c r="F257" s="317"/>
      <c r="G257" s="159" t="s">
        <v>364</v>
      </c>
      <c r="H257" s="159"/>
      <c r="I257" s="159"/>
      <c r="J257" s="37" t="s">
        <v>365</v>
      </c>
      <c r="K257" s="159"/>
      <c r="L257" s="159"/>
      <c r="M257" s="317"/>
      <c r="N257" s="37">
        <v>10</v>
      </c>
      <c r="O257" s="153">
        <v>12</v>
      </c>
      <c r="P257" s="153"/>
      <c r="Q257" s="33"/>
    </row>
    <row r="258">
      <c r="B258" s="103">
        <v>244</v>
      </c>
      <c r="C258" s="315"/>
      <c r="D258" s="262"/>
      <c r="E258" s="160" t="s">
        <v>381</v>
      </c>
      <c r="F258" s="304"/>
      <c r="G258" s="160" t="s">
        <v>366</v>
      </c>
      <c r="H258" s="160"/>
      <c r="I258" s="160"/>
      <c r="J258" s="163" t="s">
        <v>382</v>
      </c>
      <c r="K258" s="160"/>
      <c r="L258" s="160"/>
      <c r="M258" s="304"/>
      <c r="N258" s="277" t="s">
        <v>37</v>
      </c>
      <c r="O258" s="278"/>
      <c r="P258" s="327"/>
      <c r="Q258" s="35"/>
    </row>
    <row r="259">
      <c r="B259" s="103">
        <v>257</v>
      </c>
      <c r="C259" s="293" t="s">
        <v>227</v>
      </c>
      <c r="D259" s="286" t="s">
        <v>377</v>
      </c>
      <c r="E259" s="149" t="s">
        <v>383</v>
      </c>
      <c r="F259" s="265" t="s">
        <v>368</v>
      </c>
      <c r="G259" s="149" t="s">
        <v>369</v>
      </c>
      <c r="H259" s="149"/>
      <c r="I259" s="149"/>
      <c r="J259" s="95" t="s">
        <v>370</v>
      </c>
      <c r="K259" s="149"/>
      <c r="L259" s="149"/>
      <c r="M259" s="265" t="s">
        <v>384</v>
      </c>
      <c r="N259" s="95">
        <v>2</v>
      </c>
      <c r="O259" s="149">
        <v>4</v>
      </c>
      <c r="P259" s="149"/>
      <c r="Q259" s="98"/>
    </row>
    <row r="260" ht="15" customHeight="1">
      <c r="B260" s="103">
        <v>258</v>
      </c>
      <c r="C260" s="293"/>
      <c r="D260" s="287"/>
      <c r="E260" s="150" t="s">
        <v>385</v>
      </c>
      <c r="F260" s="266"/>
      <c r="G260" s="150" t="s">
        <v>371</v>
      </c>
      <c r="H260" s="150"/>
      <c r="I260" s="150"/>
      <c r="J260" s="96" t="s">
        <v>372</v>
      </c>
      <c r="K260" s="150"/>
      <c r="L260" s="150"/>
      <c r="M260" s="266"/>
      <c r="N260" s="96">
        <v>6</v>
      </c>
      <c r="O260" s="150">
        <v>8</v>
      </c>
      <c r="P260" s="150"/>
      <c r="Q260" s="99"/>
    </row>
    <row r="261">
      <c r="B261" s="103">
        <v>259</v>
      </c>
      <c r="C261" s="293"/>
      <c r="D261" s="287"/>
      <c r="E261" s="150" t="s">
        <v>386</v>
      </c>
      <c r="F261" s="266"/>
      <c r="G261" s="150" t="s">
        <v>373</v>
      </c>
      <c r="H261" s="150"/>
      <c r="I261" s="150"/>
      <c r="J261" s="96" t="s">
        <v>374</v>
      </c>
      <c r="K261" s="150"/>
      <c r="L261" s="150"/>
      <c r="M261" s="295"/>
      <c r="N261" s="96">
        <v>10</v>
      </c>
      <c r="O261" s="150">
        <v>12</v>
      </c>
      <c r="P261" s="150"/>
      <c r="Q261" s="99"/>
    </row>
    <row r="262">
      <c r="B262" s="103">
        <v>260</v>
      </c>
      <c r="C262" s="293"/>
      <c r="D262" s="288"/>
      <c r="E262" s="151" t="s">
        <v>387</v>
      </c>
      <c r="F262" s="267"/>
      <c r="G262" s="151" t="s">
        <v>375</v>
      </c>
      <c r="H262" s="151"/>
      <c r="I262" s="151"/>
      <c r="J262" s="100" t="s">
        <v>388</v>
      </c>
      <c r="K262" s="151"/>
      <c r="L262" s="151"/>
      <c r="M262" s="282" t="s">
        <v>37</v>
      </c>
      <c r="N262" s="296"/>
      <c r="O262" s="296"/>
      <c r="P262" s="302"/>
      <c r="Q262" s="101"/>
    </row>
    <row r="263">
      <c r="B263" s="103">
        <v>9</v>
      </c>
      <c r="C263" s="170"/>
      <c r="D263" s="286" t="s">
        <v>389</v>
      </c>
      <c r="E263" s="149" t="s">
        <v>379</v>
      </c>
      <c r="F263" s="265" t="s">
        <v>71</v>
      </c>
      <c r="G263" s="149">
        <v>1</v>
      </c>
      <c r="H263" s="149"/>
      <c r="I263" s="149"/>
      <c r="J263" s="149"/>
      <c r="K263" s="149"/>
      <c r="L263" s="149"/>
      <c r="M263" s="265" t="s">
        <v>254</v>
      </c>
      <c r="N263" s="149">
        <v>2</v>
      </c>
      <c r="O263" s="149">
        <v>4</v>
      </c>
      <c r="P263" s="149"/>
      <c r="Q263" s="161"/>
    </row>
    <row r="264">
      <c r="B264" s="103">
        <v>10</v>
      </c>
      <c r="C264" s="170"/>
      <c r="D264" s="287"/>
      <c r="E264" s="150" t="s">
        <v>73</v>
      </c>
      <c r="F264" s="266"/>
      <c r="G264" s="150">
        <v>3</v>
      </c>
      <c r="H264" s="150"/>
      <c r="I264" s="150"/>
      <c r="J264" s="150"/>
      <c r="K264" s="150"/>
      <c r="L264" s="150"/>
      <c r="M264" s="266"/>
      <c r="N264" s="150">
        <v>6</v>
      </c>
      <c r="O264" s="150">
        <v>8</v>
      </c>
      <c r="P264" s="150"/>
      <c r="Q264" s="162"/>
    </row>
    <row r="265">
      <c r="B265" s="103">
        <v>11</v>
      </c>
      <c r="C265" s="170"/>
      <c r="D265" s="287"/>
      <c r="E265" s="150" t="s">
        <v>74</v>
      </c>
      <c r="F265" s="266"/>
      <c r="G265" s="150">
        <v>5</v>
      </c>
      <c r="H265" s="150"/>
      <c r="I265" s="150"/>
      <c r="J265" s="150"/>
      <c r="K265" s="150"/>
      <c r="L265" s="150"/>
      <c r="M265" s="295"/>
      <c r="N265" s="150">
        <v>10</v>
      </c>
      <c r="O265" s="150">
        <v>12</v>
      </c>
      <c r="P265" s="150"/>
      <c r="Q265" s="162"/>
    </row>
    <row r="266">
      <c r="B266" s="103">
        <v>12</v>
      </c>
      <c r="C266" s="170"/>
      <c r="D266" s="288"/>
      <c r="E266" s="151" t="s">
        <v>35</v>
      </c>
      <c r="F266" s="267"/>
      <c r="G266" s="151">
        <v>7</v>
      </c>
      <c r="H266" s="151"/>
      <c r="I266" s="151"/>
      <c r="J266" s="151"/>
      <c r="K266" s="151"/>
      <c r="L266" s="151"/>
      <c r="M266" s="274" t="s">
        <v>37</v>
      </c>
      <c r="N266" s="275"/>
      <c r="O266" s="275"/>
      <c r="P266" s="275"/>
      <c r="Q266" s="276"/>
    </row>
    <row r="267">
      <c r="B267" s="103">
        <v>25</v>
      </c>
      <c r="C267" s="324" t="s">
        <v>26</v>
      </c>
      <c r="D267" s="261" t="s">
        <v>390</v>
      </c>
      <c r="E267" s="152" t="s">
        <v>84</v>
      </c>
      <c r="F267" s="303" t="s">
        <v>71</v>
      </c>
      <c r="G267" s="158">
        <v>1</v>
      </c>
      <c r="H267" s="152">
        <v>3</v>
      </c>
      <c r="I267" s="152" t="s">
        <v>188</v>
      </c>
      <c r="J267" s="158">
        <v>2</v>
      </c>
      <c r="K267" s="152"/>
      <c r="L267" s="152"/>
      <c r="M267" s="303" t="s">
        <v>254</v>
      </c>
      <c r="N267" s="158">
        <v>2</v>
      </c>
      <c r="O267" s="158">
        <v>4</v>
      </c>
      <c r="P267" s="152"/>
      <c r="Q267" s="156"/>
    </row>
    <row r="268" ht="15" customHeight="1">
      <c r="B268" s="103">
        <v>26</v>
      </c>
      <c r="C268" s="324"/>
      <c r="D268" s="326"/>
      <c r="E268" s="153" t="s">
        <v>87</v>
      </c>
      <c r="F268" s="317"/>
      <c r="G268" s="159">
        <v>3</v>
      </c>
      <c r="H268" s="153">
        <v>3</v>
      </c>
      <c r="I268" s="153" t="s">
        <v>190</v>
      </c>
      <c r="J268" s="159">
        <v>4</v>
      </c>
      <c r="K268" s="153"/>
      <c r="L268" s="153"/>
      <c r="M268" s="317"/>
      <c r="N268" s="159">
        <v>6</v>
      </c>
      <c r="O268" s="159">
        <v>8</v>
      </c>
      <c r="P268" s="153"/>
      <c r="Q268" s="157"/>
    </row>
    <row r="269">
      <c r="B269" s="103">
        <v>27</v>
      </c>
      <c r="C269" s="324"/>
      <c r="D269" s="326"/>
      <c r="E269" s="159" t="s">
        <v>88</v>
      </c>
      <c r="F269" s="317"/>
      <c r="G269" s="159">
        <v>5</v>
      </c>
      <c r="H269" s="153">
        <v>3</v>
      </c>
      <c r="I269" s="153" t="s">
        <v>192</v>
      </c>
      <c r="J269" s="159">
        <v>6</v>
      </c>
      <c r="K269" s="153"/>
      <c r="L269" s="153"/>
      <c r="M269" s="359"/>
      <c r="N269" s="159">
        <v>10</v>
      </c>
      <c r="O269" s="159">
        <v>12</v>
      </c>
      <c r="P269" s="153"/>
      <c r="Q269" s="157"/>
    </row>
    <row r="270">
      <c r="B270" s="103">
        <v>28</v>
      </c>
      <c r="C270" s="324"/>
      <c r="D270" s="262"/>
      <c r="E270" s="160" t="s">
        <v>63</v>
      </c>
      <c r="F270" s="304"/>
      <c r="G270" s="160">
        <v>7</v>
      </c>
      <c r="H270" s="155">
        <v>0</v>
      </c>
      <c r="I270" s="155" t="s">
        <v>37</v>
      </c>
      <c r="J270" s="160">
        <v>8</v>
      </c>
      <c r="K270" s="155"/>
      <c r="L270" s="155"/>
      <c r="M270" s="311" t="s">
        <v>37</v>
      </c>
      <c r="N270" s="312"/>
      <c r="O270" s="312"/>
      <c r="P270" s="312"/>
      <c r="Q270" s="313"/>
    </row>
    <row r="271">
      <c r="B271" s="103">
        <v>33</v>
      </c>
      <c r="C271" s="324" t="s">
        <v>58</v>
      </c>
      <c r="D271" s="261" t="s">
        <v>391</v>
      </c>
      <c r="E271" s="152" t="s">
        <v>392</v>
      </c>
      <c r="F271" s="303" t="s">
        <v>393</v>
      </c>
      <c r="G271" s="158">
        <v>9</v>
      </c>
      <c r="H271" s="152"/>
      <c r="I271" s="152"/>
      <c r="J271" s="158">
        <v>10</v>
      </c>
      <c r="K271" s="152"/>
      <c r="L271" s="152"/>
      <c r="M271" s="263" t="s">
        <v>394</v>
      </c>
      <c r="N271" s="158">
        <v>2</v>
      </c>
      <c r="O271" s="158">
        <v>4</v>
      </c>
      <c r="P271" s="152"/>
      <c r="Q271" s="156"/>
    </row>
    <row r="272" ht="15" customHeight="1">
      <c r="B272" s="103">
        <v>34</v>
      </c>
      <c r="C272" s="324"/>
      <c r="D272" s="326"/>
      <c r="E272" s="153" t="s">
        <v>395</v>
      </c>
      <c r="F272" s="317"/>
      <c r="G272" s="159">
        <v>11</v>
      </c>
      <c r="H272" s="153"/>
      <c r="I272" s="153"/>
      <c r="J272" s="159">
        <v>12</v>
      </c>
      <c r="K272" s="153"/>
      <c r="L272" s="153"/>
      <c r="M272" s="337"/>
      <c r="N272" s="159">
        <v>6</v>
      </c>
      <c r="O272" s="159">
        <v>8</v>
      </c>
      <c r="P272" s="153"/>
      <c r="Q272" s="157"/>
    </row>
    <row r="273">
      <c r="B273" s="103">
        <v>35</v>
      </c>
      <c r="C273" s="324"/>
      <c r="D273" s="326"/>
      <c r="E273" s="159" t="s">
        <v>396</v>
      </c>
      <c r="F273" s="317"/>
      <c r="G273" s="159">
        <v>13</v>
      </c>
      <c r="H273" s="153"/>
      <c r="I273" s="153"/>
      <c r="J273" s="159">
        <v>14</v>
      </c>
      <c r="K273" s="153"/>
      <c r="L273" s="153"/>
      <c r="M273" s="360"/>
      <c r="N273" s="159">
        <v>10</v>
      </c>
      <c r="O273" s="159">
        <v>12</v>
      </c>
      <c r="P273" s="153"/>
      <c r="Q273" s="157"/>
    </row>
    <row r="274">
      <c r="B274" s="103">
        <v>36</v>
      </c>
      <c r="C274" s="325"/>
      <c r="D274" s="262"/>
      <c r="E274" s="160" t="s">
        <v>63</v>
      </c>
      <c r="F274" s="304"/>
      <c r="G274" s="160">
        <v>14</v>
      </c>
      <c r="H274" s="160"/>
      <c r="I274" s="155"/>
      <c r="J274" s="155"/>
      <c r="K274" s="155"/>
      <c r="L274" s="155"/>
      <c r="M274" s="311" t="s">
        <v>37</v>
      </c>
      <c r="N274" s="312"/>
      <c r="O274" s="312"/>
      <c r="P274" s="312"/>
      <c r="Q274" s="313"/>
    </row>
    <row r="276" ht="15" customHeight="1"/>
    <row r="280" ht="15" customHeight="1"/>
    <row r="286" ht="15" customHeight="1"/>
    <row r="290" ht="15" customHeight="1"/>
    <row r="294" ht="15" customHeight="1"/>
    <row r="300" ht="15" customHeight="1"/>
    <row r="304" ht="15" customHeight="1"/>
    <row r="308" ht="15" customHeight="1"/>
    <row r="316" ht="15" customHeight="1"/>
    <row r="320" ht="15" customHeight="1"/>
    <row r="324" ht="15" customHeight="1"/>
  </sheetData>
  <mergeCells>
    <mergeCell ref="M211:Q212"/>
    <mergeCell ref="C201:C204"/>
    <mergeCell ref="D201:D204"/>
    <mergeCell ref="F201:F204"/>
    <mergeCell ref="G201:I204"/>
    <mergeCell ref="M201:Q204"/>
    <mergeCell ref="C205:C208"/>
    <mergeCell ref="D205:D208"/>
    <mergeCell ref="F205:F208"/>
    <mergeCell ref="G205:I208"/>
    <mergeCell ref="M205:Q208"/>
    <mergeCell ref="C213:C214"/>
    <mergeCell ref="D213:D214"/>
    <mergeCell ref="F213:F214"/>
    <mergeCell ref="G213:I214"/>
    <mergeCell ref="M213:Q214"/>
    <mergeCell ref="C197:C198"/>
    <mergeCell ref="D197:D198"/>
    <mergeCell ref="F197:F198"/>
    <mergeCell ref="G197:I198"/>
    <mergeCell ref="M197:Q198"/>
    <mergeCell ref="C199:C200"/>
    <mergeCell ref="D199:D200"/>
    <mergeCell ref="F199:F200"/>
    <mergeCell ref="G199:I200"/>
    <mergeCell ref="M199:Q200"/>
    <mergeCell ref="C209:C210"/>
    <mergeCell ref="D209:D210"/>
    <mergeCell ref="F209:F210"/>
    <mergeCell ref="G209:I210"/>
    <mergeCell ref="M209:Q210"/>
    <mergeCell ref="C211:C212"/>
    <mergeCell ref="D211:D212"/>
    <mergeCell ref="F211:F212"/>
    <mergeCell ref="G211:I212"/>
    <mergeCell ref="C189:C192"/>
    <mergeCell ref="D189:D192"/>
    <mergeCell ref="F189:F192"/>
    <mergeCell ref="G189:I192"/>
    <mergeCell ref="M189:Q192"/>
    <mergeCell ref="C193:C196"/>
    <mergeCell ref="D193:D196"/>
    <mergeCell ref="F193:F196"/>
    <mergeCell ref="G193:I196"/>
    <mergeCell ref="M193:Q196"/>
    <mergeCell ref="C181:C184"/>
    <mergeCell ref="D181:D184"/>
    <mergeCell ref="F181:F184"/>
    <mergeCell ref="G181:I184"/>
    <mergeCell ref="M181:Q184"/>
    <mergeCell ref="C185:C188"/>
    <mergeCell ref="D185:D188"/>
    <mergeCell ref="F185:F188"/>
    <mergeCell ref="G185:I188"/>
    <mergeCell ref="M185:Q188"/>
    <mergeCell ref="C177:C180"/>
    <mergeCell ref="D177:D180"/>
    <mergeCell ref="F177:F180"/>
    <mergeCell ref="M177:Q180"/>
    <mergeCell ref="C165:C168"/>
    <mergeCell ref="D165:D168"/>
    <mergeCell ref="F165:F168"/>
    <mergeCell ref="M165:Q168"/>
    <mergeCell ref="C169:C172"/>
    <mergeCell ref="D169:D172"/>
    <mergeCell ref="F169:F172"/>
    <mergeCell ref="G169:I172"/>
    <mergeCell ref="M169:Q172"/>
    <mergeCell ref="C161:C164"/>
    <mergeCell ref="D161:D164"/>
    <mergeCell ref="F161:F164"/>
    <mergeCell ref="G161:I164"/>
    <mergeCell ref="M161:Q164"/>
    <mergeCell ref="C173:C176"/>
    <mergeCell ref="D173:D176"/>
    <mergeCell ref="F173:F176"/>
    <mergeCell ref="M173:Q176"/>
    <mergeCell ref="C153:C156"/>
    <mergeCell ref="D153:D156"/>
    <mergeCell ref="F153:F156"/>
    <mergeCell ref="G153:I156"/>
    <mergeCell ref="M153:Q156"/>
    <mergeCell ref="C157:C160"/>
    <mergeCell ref="D157:D160"/>
    <mergeCell ref="F157:F160"/>
    <mergeCell ref="G157:I160"/>
    <mergeCell ref="M157:Q160"/>
    <mergeCell ref="C145:C148"/>
    <mergeCell ref="D145:D148"/>
    <mergeCell ref="F145:F148"/>
    <mergeCell ref="G145:I148"/>
    <mergeCell ref="M145:Q148"/>
    <mergeCell ref="C149:C152"/>
    <mergeCell ref="D149:D152"/>
    <mergeCell ref="F149:F152"/>
    <mergeCell ref="G149:I152"/>
    <mergeCell ref="M149:Q152"/>
    <mergeCell ref="D137:D140"/>
    <mergeCell ref="F137:F140"/>
    <mergeCell ref="M137:Q140"/>
    <mergeCell ref="C137:C140"/>
    <mergeCell ref="C141:C144"/>
    <mergeCell ref="D141:D144"/>
    <mergeCell ref="F141:F144"/>
    <mergeCell ref="G141:I144"/>
    <mergeCell ref="M141:Q144"/>
    <mergeCell ref="C129:C132"/>
    <mergeCell ref="D133:D136"/>
    <mergeCell ref="F133:F136"/>
    <mergeCell ref="C133:C136"/>
    <mergeCell ref="D125:D128"/>
    <mergeCell ref="F125:F128"/>
    <mergeCell ref="J125:L128"/>
    <mergeCell ref="M125:Q128"/>
    <mergeCell ref="C125:C128"/>
    <mergeCell ref="M133:M136"/>
    <mergeCell ref="N136:Q136"/>
    <mergeCell ref="U128:V128"/>
    <mergeCell ref="W128:X128"/>
    <mergeCell ref="U132:V132"/>
    <mergeCell ref="W132:X132"/>
    <mergeCell ref="M129:M132"/>
    <mergeCell ref="N132:Q132"/>
    <mergeCell ref="D129:D132"/>
    <mergeCell ref="F129:F132"/>
    <mergeCell ref="U124:V124"/>
    <mergeCell ref="W124:X124"/>
    <mergeCell ref="C117:C120"/>
    <mergeCell ref="D121:D124"/>
    <mergeCell ref="F121:F124"/>
    <mergeCell ref="M121:M124"/>
    <mergeCell ref="N124:Q124"/>
    <mergeCell ref="C121:C124"/>
    <mergeCell ref="D117:D120"/>
    <mergeCell ref="F117:F120"/>
    <mergeCell ref="M117:M120"/>
    <mergeCell ref="N120:Q120"/>
    <mergeCell ref="U90:V90"/>
    <mergeCell ref="W90:X90"/>
    <mergeCell ref="W108:X108"/>
    <mergeCell ref="W112:X112"/>
    <mergeCell ref="W94:X94"/>
    <mergeCell ref="W98:X98"/>
    <mergeCell ref="U102:V102"/>
    <mergeCell ref="W102:X102"/>
    <mergeCell ref="U94:V94"/>
    <mergeCell ref="U98:V98"/>
    <mergeCell ref="J99:L102"/>
    <mergeCell ref="M99:M101"/>
    <mergeCell ref="M102:Q102"/>
    <mergeCell ref="W116:X116"/>
    <mergeCell ref="U120:V120"/>
    <mergeCell ref="D113:D116"/>
    <mergeCell ref="F113:F116"/>
    <mergeCell ref="M113:M116"/>
    <mergeCell ref="N116:Q116"/>
    <mergeCell ref="W120:X120"/>
    <mergeCell ref="C103:C106"/>
    <mergeCell ref="D107:D108"/>
    <mergeCell ref="F107:F108"/>
    <mergeCell ref="J107:L108"/>
    <mergeCell ref="M107:M108"/>
    <mergeCell ref="C107:C108"/>
    <mergeCell ref="D103:D106"/>
    <mergeCell ref="F103:F106"/>
    <mergeCell ref="M103:M105"/>
    <mergeCell ref="M106:Q106"/>
    <mergeCell ref="C113:C116"/>
    <mergeCell ref="U108:V108"/>
    <mergeCell ref="C109:C112"/>
    <mergeCell ref="D109:D112"/>
    <mergeCell ref="F109:F112"/>
    <mergeCell ref="M109:M112"/>
    <mergeCell ref="N112:Q112"/>
    <mergeCell ref="U112:V112"/>
    <mergeCell ref="U116:V116"/>
    <mergeCell ref="C99:C102"/>
    <mergeCell ref="J91:L94"/>
    <mergeCell ref="M91:M93"/>
    <mergeCell ref="M94:Q94"/>
    <mergeCell ref="C91:C94"/>
    <mergeCell ref="C95:C98"/>
    <mergeCell ref="J95:L98"/>
    <mergeCell ref="M87:M88"/>
    <mergeCell ref="C87:C88"/>
    <mergeCell ref="D89:D90"/>
    <mergeCell ref="F89:F90"/>
    <mergeCell ref="J89:L90"/>
    <mergeCell ref="C89:C90"/>
    <mergeCell ref="D91:D94"/>
    <mergeCell ref="F91:F94"/>
    <mergeCell ref="D95:D98"/>
    <mergeCell ref="F95:F98"/>
    <mergeCell ref="D99:D102"/>
    <mergeCell ref="F99:F102"/>
    <mergeCell ref="D87:D88"/>
    <mergeCell ref="F87:F88"/>
    <mergeCell ref="M89:M90"/>
    <mergeCell ref="M95:M97"/>
    <mergeCell ref="M98:Q98"/>
    <mergeCell ref="C83:C86"/>
    <mergeCell ref="M83:M85"/>
    <mergeCell ref="M86:Q86"/>
    <mergeCell ref="W58:X58"/>
    <mergeCell ref="U62:V62"/>
    <mergeCell ref="W62:X62"/>
    <mergeCell ref="U66:V66"/>
    <mergeCell ref="W66:X66"/>
    <mergeCell ref="M71:M74"/>
    <mergeCell ref="N74:P74"/>
    <mergeCell ref="W74:X74"/>
    <mergeCell ref="U74:V74"/>
    <mergeCell ref="W70:X70"/>
    <mergeCell ref="C63:C66"/>
    <mergeCell ref="J67:L70"/>
    <mergeCell ref="M67:M70"/>
    <mergeCell ref="W78:X78"/>
    <mergeCell ref="U78:V78"/>
    <mergeCell ref="D83:D86"/>
    <mergeCell ref="F83:F86"/>
    <mergeCell ref="M78:Q78"/>
    <mergeCell ref="W82:X82"/>
    <mergeCell ref="M75:M77"/>
    <mergeCell ref="U58:V58"/>
    <mergeCell ref="D57:D58"/>
    <mergeCell ref="F57:F58"/>
    <mergeCell ref="M57:M58"/>
    <mergeCell ref="F67:F70"/>
    <mergeCell ref="D71:D74"/>
    <mergeCell ref="F71:F74"/>
    <mergeCell ref="C79:C82"/>
    <mergeCell ref="D75:D78"/>
    <mergeCell ref="F75:F78"/>
    <mergeCell ref="D79:D82"/>
    <mergeCell ref="F79:F82"/>
    <mergeCell ref="C57:C58"/>
    <mergeCell ref="U70:V70"/>
    <mergeCell ref="U82:V82"/>
    <mergeCell ref="D67:D70"/>
    <mergeCell ref="N70:Q70"/>
    <mergeCell ref="C67:C70"/>
    <mergeCell ref="D59:D62"/>
    <mergeCell ref="F59:F62"/>
    <mergeCell ref="C75:C78"/>
    <mergeCell ref="M79:M81"/>
    <mergeCell ref="M82:Q82"/>
    <mergeCell ref="M59:M61"/>
    <mergeCell ref="M62:Q62"/>
    <mergeCell ref="D63:D66"/>
    <mergeCell ref="F63:F66"/>
    <mergeCell ref="M63:M65"/>
    <mergeCell ref="M66:Q66"/>
    <mergeCell ref="J63:L66"/>
    <mergeCell ref="J59:L62"/>
    <mergeCell ref="C59:C62"/>
    <mergeCell ref="C39:C42"/>
    <mergeCell ref="M43:M46"/>
    <mergeCell ref="C43:C46"/>
    <mergeCell ref="C47:C50"/>
    <mergeCell ref="F51:F54"/>
    <mergeCell ref="M51:M53"/>
    <mergeCell ref="M54:Q54"/>
    <mergeCell ref="D43:D46"/>
    <mergeCell ref="F43:F46"/>
    <mergeCell ref="D47:D50"/>
    <mergeCell ref="F47:F50"/>
    <mergeCell ref="D51:D54"/>
    <mergeCell ref="D39:D42"/>
    <mergeCell ref="F39:F42"/>
    <mergeCell ref="N46:Q46"/>
    <mergeCell ref="C51:C54"/>
    <mergeCell ref="D55:D56"/>
    <mergeCell ref="F55:F56"/>
    <mergeCell ref="J55:L56"/>
    <mergeCell ref="M55:M56"/>
    <mergeCell ref="C55:C56"/>
    <mergeCell ref="U32:V32"/>
    <mergeCell ref="W32:X32"/>
    <mergeCell ref="M47:M49"/>
    <mergeCell ref="M50:Q50"/>
    <mergeCell ref="W38:X38"/>
    <mergeCell ref="W42:X42"/>
    <mergeCell ref="W46:X46"/>
    <mergeCell ref="W50:X50"/>
    <mergeCell ref="M36:Q36"/>
    <mergeCell ref="M39:M41"/>
    <mergeCell ref="M42:Q42"/>
    <mergeCell ref="U38:V38"/>
    <mergeCell ref="U42:V42"/>
    <mergeCell ref="U46:V46"/>
    <mergeCell ref="U50:V50"/>
    <mergeCell ref="C33:C36"/>
    <mergeCell ref="D37:D38"/>
    <mergeCell ref="F37:F38"/>
    <mergeCell ref="J37:L38"/>
    <mergeCell ref="M37:M38"/>
    <mergeCell ref="C37:C38"/>
    <mergeCell ref="C25:C28"/>
    <mergeCell ref="D29:D32"/>
    <mergeCell ref="F29:F32"/>
    <mergeCell ref="M29:M31"/>
    <mergeCell ref="M32:Q32"/>
    <mergeCell ref="C29:C32"/>
    <mergeCell ref="D33:D36"/>
    <mergeCell ref="F33:F36"/>
    <mergeCell ref="M33:M35"/>
    <mergeCell ref="U10:V10"/>
    <mergeCell ref="W10:X10"/>
    <mergeCell ref="U18:V18"/>
    <mergeCell ref="W18:X18"/>
    <mergeCell ref="D25:D28"/>
    <mergeCell ref="F25:F28"/>
    <mergeCell ref="M25:M27"/>
    <mergeCell ref="M28:Q28"/>
    <mergeCell ref="U24:V24"/>
    <mergeCell ref="W24:X24"/>
    <mergeCell ref="D19:D22"/>
    <mergeCell ref="F19:F22"/>
    <mergeCell ref="M19:M22"/>
    <mergeCell ref="N22:Q22"/>
    <mergeCell ref="W14:X14"/>
    <mergeCell ref="U14:V14"/>
    <mergeCell ref="U28:V28"/>
    <mergeCell ref="W28:X28"/>
    <mergeCell ref="C19:C22"/>
    <mergeCell ref="D23:D24"/>
    <mergeCell ref="F23:F24"/>
    <mergeCell ref="J23:L24"/>
    <mergeCell ref="M23:M24"/>
    <mergeCell ref="C23:C24"/>
    <mergeCell ref="J11:L13"/>
    <mergeCell ref="M11:M13"/>
    <mergeCell ref="M14:Q14"/>
    <mergeCell ref="C11:C14"/>
    <mergeCell ref="D15:D18"/>
    <mergeCell ref="F15:F18"/>
    <mergeCell ref="M15:M17"/>
    <mergeCell ref="M18:Q18"/>
    <mergeCell ref="C15:C18"/>
    <mergeCell ref="D11:D14"/>
    <mergeCell ref="F11:F14"/>
    <mergeCell ref="C2:D2"/>
    <mergeCell ref="F3:Q4"/>
    <mergeCell ref="C9:C10"/>
    <mergeCell ref="D9:D10"/>
    <mergeCell ref="E9:E10"/>
    <mergeCell ref="F9:L9"/>
    <mergeCell ref="M9:Q9"/>
    <mergeCell ref="Y2:AA2"/>
    <mergeCell ref="C231:C234"/>
    <mergeCell ref="M219:Q222"/>
    <mergeCell ref="C223:C226"/>
    <mergeCell ref="G223:I226"/>
    <mergeCell ref="C227:C230"/>
    <mergeCell ref="G227:I230"/>
    <mergeCell ref="M227:Q230"/>
    <mergeCell ref="D223:D226"/>
    <mergeCell ref="F223:F226"/>
    <mergeCell ref="M223:Q226"/>
    <mergeCell ref="D227:D230"/>
    <mergeCell ref="F227:F230"/>
    <mergeCell ref="F215:F218"/>
    <mergeCell ref="D215:D218"/>
    <mergeCell ref="M215:Q218"/>
    <mergeCell ref="C71:C74"/>
    <mergeCell ref="M271:M273"/>
    <mergeCell ref="M274:Q274"/>
    <mergeCell ref="F267:F270"/>
    <mergeCell ref="M267:M269"/>
    <mergeCell ref="M270:Q270"/>
    <mergeCell ref="F255:F258"/>
    <mergeCell ref="M255:M258"/>
    <mergeCell ref="N258:P258"/>
    <mergeCell ref="C259:C262"/>
    <mergeCell ref="D259:D262"/>
    <mergeCell ref="F259:F262"/>
    <mergeCell ref="M259:M261"/>
    <mergeCell ref="M262:P262"/>
    <mergeCell ref="C251:C254"/>
    <mergeCell ref="C267:C270"/>
    <mergeCell ref="F243:F246"/>
    <mergeCell ref="F263:F266"/>
    <mergeCell ref="C271:C274"/>
    <mergeCell ref="D267:D270"/>
    <mergeCell ref="D271:D274"/>
    <mergeCell ref="D263:D266"/>
    <mergeCell ref="D243:D246"/>
    <mergeCell ref="D247:D250"/>
    <mergeCell ref="C255:C258"/>
    <mergeCell ref="D255:D258"/>
    <mergeCell ref="C247:C250"/>
    <mergeCell ref="F271:F274"/>
    <mergeCell ref="C219:C222"/>
    <mergeCell ref="C243:C246"/>
    <mergeCell ref="D219:D222"/>
    <mergeCell ref="D231:D234"/>
    <mergeCell ref="F231:F234"/>
    <mergeCell ref="D235:D238"/>
    <mergeCell ref="F235:F238"/>
    <mergeCell ref="C235:C238"/>
    <mergeCell ref="C239:C242"/>
    <mergeCell ref="M235:M238"/>
    <mergeCell ref="B9:B10"/>
    <mergeCell ref="M266:Q266"/>
    <mergeCell ref="D239:D242"/>
    <mergeCell ref="F239:F242"/>
    <mergeCell ref="M239:M241"/>
    <mergeCell ref="M242:Q242"/>
    <mergeCell ref="M243:M245"/>
    <mergeCell ref="M246:Q246"/>
    <mergeCell ref="J231:L234"/>
    <mergeCell ref="M231:M234"/>
    <mergeCell ref="N234:Q234"/>
    <mergeCell ref="J235:L238"/>
    <mergeCell ref="N238:Q238"/>
    <mergeCell ref="M263:M265"/>
    <mergeCell ref="F247:F250"/>
    <mergeCell ref="M247:M250"/>
    <mergeCell ref="N250:Q250"/>
    <mergeCell ref="D251:D254"/>
    <mergeCell ref="F251:F254"/>
    <mergeCell ref="M251:M253"/>
    <mergeCell ref="M254:Q254"/>
    <mergeCell ref="F219:F222"/>
    <mergeCell ref="C215:C218"/>
  </mergeCells>
  <pageMargins left="0.7" right="0.7" top="0.75" bottom="0.75" header="0.3" footer="0.3"/>
  <pageSetup paperSize="9" orientation="portrait" horizontalDpi="1200" verticalDpi="1200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W89"/>
  <sheetViews>
    <sheetView showWhiteSpace="0" zoomScale="85" zoomScaleNormal="85" zoomScaleSheetLayoutView="130" workbookViewId="0">
      <selection activeCell="W22" sqref="W22"/>
    </sheetView>
  </sheetViews>
  <sheetFormatPr defaultRowHeight="15" x14ac:dyDescent="0.25"/>
  <cols>
    <col min="1" max="1" width="3.5703125" customWidth="1" style="195"/>
    <col min="2" max="2" width="3.7109375" customWidth="1" style="1"/>
    <col min="3" max="3" bestFit="1" width="15.7109375" customWidth="1" style="1"/>
    <col min="4" max="4" width="21.5703125" customWidth="1" style="2"/>
    <col min="5" max="5" bestFit="1" width="13.7109375" customWidth="1" style="1"/>
    <col min="6" max="6" width="14.140625" customWidth="1" style="1"/>
    <col min="7" max="7" width="8.5703125" customWidth="1" style="1"/>
    <col min="8" max="8" width="5.28515625" customWidth="1" style="1"/>
    <col min="9" max="9" bestFit="1" width="5.140625" customWidth="1" style="1"/>
    <col min="10" max="10" bestFit="1" width="8.5703125" customWidth="1" style="1"/>
    <col min="11" max="11" width="5" customWidth="1" style="1"/>
    <col min="12" max="12" bestFit="1" width="5.140625" customWidth="1" style="1"/>
    <col min="13" max="13" bestFit="1" width="9.7109375" customWidth="1" style="1"/>
    <col min="14" max="14" bestFit="1" width="7.28515625" customWidth="1" style="1"/>
    <col min="15" max="15" bestFit="1" width="8.28515625" customWidth="1" style="1"/>
    <col min="16" max="16" width="4.85546875" customWidth="1" style="1"/>
    <col min="17" max="17" bestFit="1" width="5.140625" customWidth="1" style="1"/>
    <col min="18" max="18" width="2.28515625" customWidth="1" style="1"/>
    <col min="19" max="19" bestFit="1" width="16.5703125" customWidth="1" style="1"/>
    <col min="20" max="20" bestFit="1" width="16.85546875" customWidth="1" style="1"/>
    <col min="21" max="21" bestFit="1" width="6.7109375" customWidth="1" style="1"/>
    <col min="22" max="22" bestFit="1" width="5.5703125" customWidth="1" style="1"/>
    <col min="23" max="23" bestFit="1" width="11.42578125" customWidth="1" style="1"/>
    <col min="24" max="25" width="9.140625" customWidth="1" style="1"/>
    <col min="26" max="26" width="24.42578125" customWidth="1" style="1"/>
    <col min="27" max="27" width="7" customWidth="1" style="1"/>
    <col min="28" max="29" width="9.140625" customWidth="1" style="1"/>
    <col min="30" max="30" bestFit="1" width="20.5703125" customWidth="1" style="1"/>
    <col min="31" max="31" bestFit="1" width="10.7109375" customWidth="1" style="1"/>
    <col min="32" max="33" width="9.140625" customWidth="1" style="1"/>
    <col min="34" max="16384" width="9.140625" customWidth="1" style="1"/>
  </cols>
  <sheetData>
    <row r="1">
      <c r="C1" s="417" t="s">
        <v>4</v>
      </c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</row>
    <row r="2" s="249" customFormat="1"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</row>
    <row r="3" s="249" customFormat="1"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</row>
    <row r="4" s="249" customFormat="1"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0"/>
      <c r="Q4" s="250"/>
    </row>
    <row r="5" s="249" customFormat="1"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</row>
    <row r="6" s="249" customFormat="1"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</row>
    <row r="7" s="249" customFormat="1"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</row>
    <row r="8" ht="15.75"/>
    <row r="9" ht="28.5">
      <c r="B9" s="462" t="s">
        <v>9</v>
      </c>
      <c r="C9" s="464" t="s">
        <v>10</v>
      </c>
      <c r="D9" s="466" t="s">
        <v>11</v>
      </c>
      <c r="E9" s="468" t="s">
        <v>12</v>
      </c>
      <c r="F9" s="418" t="s">
        <v>13</v>
      </c>
      <c r="G9" s="419"/>
      <c r="H9" s="419"/>
      <c r="I9" s="419"/>
      <c r="J9" s="419"/>
      <c r="K9" s="419"/>
      <c r="L9" s="470"/>
      <c r="M9" s="418" t="s">
        <v>14</v>
      </c>
      <c r="N9" s="419"/>
      <c r="O9" s="419"/>
      <c r="P9" s="419"/>
      <c r="Q9" s="420"/>
      <c r="S9" s="4" t="s">
        <v>397</v>
      </c>
      <c r="T9" s="5" t="s">
        <v>398</v>
      </c>
      <c r="U9" s="5" t="s">
        <v>399</v>
      </c>
      <c r="V9" s="5" t="s">
        <v>400</v>
      </c>
      <c r="W9" s="6" t="s">
        <v>401</v>
      </c>
    </row>
    <row r="10" ht="29.25">
      <c r="B10" s="493"/>
      <c r="C10" s="465"/>
      <c r="D10" s="467"/>
      <c r="E10" s="469"/>
      <c r="F10" s="42" t="s">
        <v>15</v>
      </c>
      <c r="G10" s="42" t="s">
        <v>16</v>
      </c>
      <c r="H10" s="43" t="s">
        <v>17</v>
      </c>
      <c r="I10" s="43" t="s">
        <v>18</v>
      </c>
      <c r="J10" s="42" t="s">
        <v>19</v>
      </c>
      <c r="K10" s="43" t="s">
        <v>17</v>
      </c>
      <c r="L10" s="43" t="s">
        <v>18</v>
      </c>
      <c r="M10" s="42" t="s">
        <v>20</v>
      </c>
      <c r="N10" s="42" t="s">
        <v>21</v>
      </c>
      <c r="O10" s="42" t="s">
        <v>22</v>
      </c>
      <c r="P10" s="43" t="s">
        <v>17</v>
      </c>
      <c r="Q10" s="44" t="s">
        <v>18</v>
      </c>
      <c r="S10" s="31" t="s">
        <v>322</v>
      </c>
      <c r="T10" s="14" t="s">
        <v>402</v>
      </c>
      <c r="U10" s="14" t="s">
        <v>403</v>
      </c>
      <c r="V10" s="14"/>
      <c r="W10" s="25"/>
    </row>
    <row r="11">
      <c r="A11" s="195">
        <v>1</v>
      </c>
      <c r="B11" s="259">
        <v>1</v>
      </c>
      <c r="C11" s="307" t="s">
        <v>26</v>
      </c>
      <c r="D11" s="421" t="s">
        <v>95</v>
      </c>
      <c r="E11" s="15">
        <f>'По терминалам 2'!E66</f>
      </c>
      <c r="F11" s="261" t="s">
        <v>24</v>
      </c>
      <c r="G11" s="305">
        <f>'По терминалам 2'!G66</f>
      </c>
      <c r="H11" s="306">
        <f>'По терминалам 2'!H66</f>
      </c>
      <c r="I11" s="314">
        <f>'По терминалам 2'!I66</f>
      </c>
      <c r="J11" s="22">
        <f>'По терминалам 2'!J66</f>
      </c>
      <c r="K11" s="15">
        <f>'По терминалам 2'!K66</f>
      </c>
      <c r="L11" s="15">
        <f>'По терминалам 2'!L66</f>
      </c>
      <c r="M11" s="305">
        <f>'По терминалам 2'!M66</f>
      </c>
      <c r="N11" s="306">
        <f>'По терминалам 2'!N66</f>
      </c>
      <c r="O11" s="306">
        <f>'По терминалам 2'!O66</f>
      </c>
      <c r="P11" s="306">
        <f>'По терминалам 2'!P66</f>
      </c>
      <c r="Q11" s="307">
        <f>'По терминалам 2'!Q66</f>
      </c>
      <c r="S11" s="1">
        <v>1</v>
      </c>
    </row>
    <row r="12">
      <c r="A12" s="195">
        <v>1</v>
      </c>
      <c r="B12" s="494">
        <v>2</v>
      </c>
      <c r="C12" s="310"/>
      <c r="D12" s="422"/>
      <c r="E12" s="11">
        <f>'По терминалам 2'!E67</f>
      </c>
      <c r="F12" s="326"/>
      <c r="G12" s="308">
        <f>'По терминалам 2'!G67</f>
      </c>
      <c r="H12" s="309">
        <f>'По терминалам 2'!H67</f>
      </c>
      <c r="I12" s="315">
        <f>'По терминалам 2'!I67</f>
      </c>
      <c r="J12" s="18">
        <f>'По терминалам 2'!J67</f>
      </c>
      <c r="K12" s="11">
        <f>'По терминалам 2'!K67</f>
      </c>
      <c r="L12" s="11">
        <f>'По терминалам 2'!L67</f>
      </c>
      <c r="M12" s="308">
        <f>'По терминалам 2'!M67</f>
      </c>
      <c r="N12" s="309">
        <f>'По терминалам 2'!N67</f>
      </c>
      <c r="O12" s="309">
        <f>'По терминалам 2'!O67</f>
      </c>
      <c r="P12" s="309">
        <f>'По терминалам 2'!P67</f>
      </c>
      <c r="Q12" s="310">
        <f>'По терминалам 2'!Q67</f>
      </c>
      <c r="S12" s="1">
        <v>1</v>
      </c>
    </row>
    <row r="13">
      <c r="A13" s="195">
        <v>1</v>
      </c>
      <c r="B13" s="103">
        <v>3</v>
      </c>
      <c r="C13" s="310"/>
      <c r="D13" s="422"/>
      <c r="E13" s="12">
        <f>'По терминалам 2'!E68</f>
      </c>
      <c r="F13" s="326"/>
      <c r="G13" s="308">
        <f>'По терминалам 2'!G68</f>
      </c>
      <c r="H13" s="309">
        <f>'По терминалам 2'!H68</f>
      </c>
      <c r="I13" s="315">
        <f>'По терминалам 2'!I68</f>
      </c>
      <c r="J13" s="18">
        <f>'По терминалам 2'!J68</f>
      </c>
      <c r="K13" s="11">
        <f>'По терминалам 2'!K68</f>
      </c>
      <c r="L13" s="11">
        <f>'По терминалам 2'!L68</f>
      </c>
      <c r="M13" s="308">
        <f>'По терминалам 2'!M68</f>
      </c>
      <c r="N13" s="309">
        <f>'По терминалам 2'!N68</f>
      </c>
      <c r="O13" s="309">
        <f>'По терминалам 2'!O68</f>
      </c>
      <c r="P13" s="309">
        <f>'По терминалам 2'!P68</f>
      </c>
      <c r="Q13" s="310">
        <f>'По терминалам 2'!Q68</f>
      </c>
      <c r="S13" s="1">
        <v>1</v>
      </c>
    </row>
    <row r="14" ht="15.75">
      <c r="A14" s="195">
        <v>1</v>
      </c>
      <c r="B14" s="494">
        <v>4</v>
      </c>
      <c r="C14" s="310"/>
      <c r="D14" s="423"/>
      <c r="E14" s="13">
        <f>'По терминалам 2'!E69</f>
      </c>
      <c r="F14" s="262"/>
      <c r="G14" s="311">
        <f>'По терминалам 2'!G69</f>
      </c>
      <c r="H14" s="312">
        <f>'По терминалам 2'!H69</f>
      </c>
      <c r="I14" s="316">
        <f>'По терминалам 2'!I69</f>
      </c>
      <c r="J14" s="24">
        <f>'По терминалам 2'!J69</f>
      </c>
      <c r="K14" s="14">
        <f>'По терминалам 2'!K69</f>
      </c>
      <c r="L14" s="14">
        <f>'По терминалам 2'!L69</f>
      </c>
      <c r="M14" s="311">
        <f>'По терминалам 2'!M69</f>
      </c>
      <c r="N14" s="312">
        <f>'По терминалам 2'!N69</f>
      </c>
      <c r="O14" s="312">
        <f>'По терминалам 2'!O69</f>
      </c>
      <c r="P14" s="312">
        <f>'По терминалам 2'!P69</f>
      </c>
      <c r="Q14" s="313">
        <f>'По терминалам 2'!Q69</f>
      </c>
      <c r="S14" s="1">
        <v>1</v>
      </c>
    </row>
    <row r="15">
      <c r="A15" s="195">
        <v>1</v>
      </c>
      <c r="B15" s="103">
        <v>5</v>
      </c>
      <c r="C15" s="310"/>
      <c r="D15" s="421" t="s">
        <v>27</v>
      </c>
      <c r="E15" s="15">
        <f>'По терминалам 2'!E11</f>
      </c>
      <c r="F15" s="339" t="s">
        <v>24</v>
      </c>
      <c r="G15" s="15">
        <f>'По терминалам 2'!G11</f>
      </c>
      <c r="H15" s="15">
        <f>'По терминалам 2'!H11</f>
      </c>
      <c r="I15" s="15">
        <f>'По терминалам 2'!I11</f>
      </c>
      <c r="J15" s="22">
        <f>'По терминалам 2'!J11</f>
      </c>
      <c r="K15" s="15">
        <f>'По терминалам 2'!K11</f>
      </c>
      <c r="L15" s="15">
        <f>'По терминалам 2'!L11</f>
      </c>
      <c r="M15" s="339">
        <f>'По терминалам 2'!M11</f>
      </c>
      <c r="N15" s="17">
        <f>'По терминалам 2'!N11</f>
      </c>
      <c r="O15" s="17">
        <f>'По терминалам 2'!O11</f>
      </c>
      <c r="P15" s="15">
        <f>'По терминалам 2'!P11</f>
      </c>
      <c r="Q15" s="26">
        <f>'По терминалам 2'!Q11</f>
      </c>
      <c r="S15" s="1">
        <v>1</v>
      </c>
    </row>
    <row r="16">
      <c r="A16" s="195">
        <v>1</v>
      </c>
      <c r="B16" s="494">
        <v>6</v>
      </c>
      <c r="C16" s="310"/>
      <c r="D16" s="422"/>
      <c r="E16" s="11">
        <f>'По терминалам 2'!E12</f>
      </c>
      <c r="F16" s="340"/>
      <c r="G16" s="11">
        <f>'По терминалам 2'!G12</f>
      </c>
      <c r="H16" s="11">
        <f>'По терминалам 2'!H12</f>
      </c>
      <c r="I16" s="11">
        <f>'По терминалам 2'!I12</f>
      </c>
      <c r="J16" s="18">
        <f>'По терминалам 2'!J12</f>
      </c>
      <c r="K16" s="11">
        <f>'По терминалам 2'!K12</f>
      </c>
      <c r="L16" s="11">
        <f>'По терминалам 2'!L12</f>
      </c>
      <c r="M16" s="340">
        <f>'По терминалам 2'!M12</f>
      </c>
      <c r="N16" s="12">
        <f>'По терминалам 2'!N12</f>
      </c>
      <c r="O16" s="12">
        <f>'По терминалам 2'!O12</f>
      </c>
      <c r="P16" s="11">
        <f>'По терминалам 2'!P12</f>
      </c>
      <c r="Q16" s="27">
        <f>'По терминалам 2'!Q12</f>
      </c>
      <c r="S16" s="195">
        <v>1</v>
      </c>
    </row>
    <row r="17">
      <c r="A17" s="195">
        <v>1</v>
      </c>
      <c r="B17" s="103">
        <v>7</v>
      </c>
      <c r="C17" s="310"/>
      <c r="D17" s="422"/>
      <c r="E17" s="12">
        <f>'По терминалам 2'!E13</f>
      </c>
      <c r="F17" s="340"/>
      <c r="G17" s="11">
        <f>'По терминалам 2'!G13</f>
      </c>
      <c r="H17" s="11">
        <f>'По терминалам 2'!H13</f>
      </c>
      <c r="I17" s="11">
        <f>'По терминалам 2'!I13</f>
      </c>
      <c r="J17" s="18">
        <f>'По терминалам 2'!J13</f>
      </c>
      <c r="K17" s="11">
        <f>'По терминалам 2'!K13</f>
      </c>
      <c r="L17" s="11">
        <f>'По терминалам 2'!L13</f>
      </c>
      <c r="M17" s="340">
        <f>'По терминалам 2'!M13</f>
      </c>
      <c r="N17" s="12">
        <f>'По терминалам 2'!N13</f>
      </c>
      <c r="O17" s="12">
        <f>'По терминалам 2'!O13</f>
      </c>
      <c r="P17" s="11">
        <f>'По терминалам 2'!P13</f>
      </c>
      <c r="Q17" s="27">
        <f>'По терминалам 2'!Q13</f>
      </c>
      <c r="S17" s="195">
        <v>1</v>
      </c>
    </row>
    <row r="18" ht="15.75">
      <c r="A18" s="195">
        <v>1</v>
      </c>
      <c r="B18" s="494">
        <v>8</v>
      </c>
      <c r="C18" s="310"/>
      <c r="D18" s="423"/>
      <c r="E18" s="13">
        <f>'По терминалам 2'!E14</f>
      </c>
      <c r="F18" s="342"/>
      <c r="G18" s="13">
        <f>'По терминалам 2'!G14</f>
      </c>
      <c r="H18" s="14">
        <f>'По терминалам 2'!H14</f>
      </c>
      <c r="I18" s="14">
        <f>'По терминалам 2'!I14</f>
      </c>
      <c r="J18" s="34">
        <f>'По терминалам 2'!J14</f>
      </c>
      <c r="K18" s="13">
        <f>'По терминалам 2'!K14</f>
      </c>
      <c r="L18" s="13">
        <f>'По терминалам 2'!L14</f>
      </c>
      <c r="M18" s="357">
        <f>'По терминалам 2'!M14</f>
      </c>
      <c r="N18" s="357">
        <f>'По терминалам 2'!N14</f>
      </c>
      <c r="O18" s="357">
        <f>'По терминалам 2'!O14</f>
      </c>
      <c r="P18" s="357">
        <f>'По терминалам 2'!P14</f>
      </c>
      <c r="Q18" s="358">
        <f>'По терминалам 2'!Q14</f>
      </c>
      <c r="S18" s="195">
        <v>1</v>
      </c>
    </row>
    <row r="19" ht="15.75">
      <c r="A19" s="195">
        <v>1</v>
      </c>
      <c r="B19" s="103">
        <v>9</v>
      </c>
      <c r="C19" s="310"/>
      <c r="D19" s="20" t="s">
        <v>27</v>
      </c>
      <c r="E19" s="46">
        <f>'По терминалам 2'!E15</f>
      </c>
      <c r="F19" s="21" t="s">
        <v>24</v>
      </c>
      <c r="G19" s="46">
        <f>'По терминалам 2'!G15</f>
      </c>
      <c r="H19" s="46">
        <f>'По терминалам 2'!H15</f>
      </c>
      <c r="I19" s="46">
        <f>'По терминалам 2'!I15</f>
      </c>
      <c r="J19" s="47">
        <f>'По терминалам 2'!J15</f>
      </c>
      <c r="K19" s="46">
        <f>'По терминалам 2'!K15</f>
      </c>
      <c r="L19" s="46">
        <f>'По терминалам 2'!L15</f>
      </c>
      <c r="M19" s="47">
        <f>'По терминалам 2'!M15</f>
      </c>
      <c r="N19" s="47">
        <f>'По терминалам 2'!N15</f>
      </c>
      <c r="O19" s="47">
        <f>'По терминалам 2'!O15</f>
      </c>
      <c r="P19" s="46">
        <f>'По терминалам 2'!P15</f>
      </c>
      <c r="Q19" s="60">
        <f>'По терминалам 2'!Q15</f>
      </c>
      <c r="S19" s="195">
        <v>1</v>
      </c>
    </row>
    <row r="20">
      <c r="A20" s="195">
        <v>1</v>
      </c>
      <c r="B20" s="494">
        <v>10</v>
      </c>
      <c r="C20" s="310"/>
      <c r="D20" s="421" t="s">
        <v>69</v>
      </c>
      <c r="E20" s="15">
        <f>'По терминалам 2'!E38</f>
      </c>
      <c r="F20" s="339" t="s">
        <v>71</v>
      </c>
      <c r="G20" s="17">
        <f>'По терминалам 2'!G38</f>
      </c>
      <c r="H20" s="15">
        <f>'По терминалам 2'!H38</f>
      </c>
      <c r="I20" s="15">
        <f>'По терминалам 2'!I38</f>
      </c>
      <c r="J20" s="328">
        <f>'По терминалам 2'!J38</f>
      </c>
      <c r="K20" s="329">
        <f>'По терминалам 2'!K38</f>
      </c>
      <c r="L20" s="330">
        <f>'По терминалам 2'!L38</f>
      </c>
      <c r="M20" s="339">
        <f>'По терминалам 2'!M38</f>
      </c>
      <c r="N20" s="17">
        <f>'По терминалам 2'!N38</f>
      </c>
      <c r="O20" s="17">
        <f>'По терминалам 2'!O38</f>
      </c>
      <c r="P20" s="15">
        <f>'По терминалам 2'!P38</f>
      </c>
      <c r="Q20" s="26">
        <f>'По терминалам 2'!Q38</f>
      </c>
      <c r="S20" s="195">
        <v>1</v>
      </c>
    </row>
    <row r="21">
      <c r="A21" s="195">
        <v>1</v>
      </c>
      <c r="B21" s="103">
        <v>11</v>
      </c>
      <c r="C21" s="310"/>
      <c r="D21" s="422"/>
      <c r="E21" s="11">
        <f>'По терминалам 2'!E39</f>
      </c>
      <c r="F21" s="340"/>
      <c r="G21" s="12">
        <f>'По терминалам 2'!G39</f>
      </c>
      <c r="H21" s="11">
        <f>'По терминалам 2'!H39</f>
      </c>
      <c r="I21" s="11">
        <f>'По терминалам 2'!I39</f>
      </c>
      <c r="J21" s="331">
        <f>'По терминалам 2'!J39</f>
      </c>
      <c r="K21" s="332">
        <f>'По терминалам 2'!K39</f>
      </c>
      <c r="L21" s="333">
        <f>'По терминалам 2'!L39</f>
      </c>
      <c r="M21" s="340">
        <f>'По терминалам 2'!M39</f>
      </c>
      <c r="N21" s="12">
        <f>'По терминалам 2'!N39</f>
      </c>
      <c r="O21" s="12">
        <f>'По терминалам 2'!O39</f>
      </c>
      <c r="P21" s="11">
        <f>'По терминалам 2'!P39</f>
      </c>
      <c r="Q21" s="27">
        <f>'По терминалам 2'!Q39</f>
      </c>
      <c r="S21" s="195">
        <v>1</v>
      </c>
    </row>
    <row r="22">
      <c r="A22" s="195">
        <v>1</v>
      </c>
      <c r="B22" s="494">
        <v>12</v>
      </c>
      <c r="C22" s="310"/>
      <c r="D22" s="422"/>
      <c r="E22" s="12">
        <f>'По терминалам 2'!E40</f>
      </c>
      <c r="F22" s="340"/>
      <c r="G22" s="12">
        <f>'По терминалам 2'!G40</f>
      </c>
      <c r="H22" s="11">
        <f>'По терминалам 2'!H40</f>
      </c>
      <c r="I22" s="11">
        <f>'По терминалам 2'!I40</f>
      </c>
      <c r="J22" s="331">
        <f>'По терминалам 2'!J40</f>
      </c>
      <c r="K22" s="332">
        <f>'По терминалам 2'!K40</f>
      </c>
      <c r="L22" s="333">
        <f>'По терминалам 2'!L40</f>
      </c>
      <c r="M22" s="340">
        <f>'По терминалам 2'!M40</f>
      </c>
      <c r="N22" s="12">
        <f>'По терминалам 2'!N40</f>
      </c>
      <c r="O22" s="12">
        <f>'По терминалам 2'!O40</f>
      </c>
      <c r="P22" s="11">
        <f>'По терминалам 2'!P40</f>
      </c>
      <c r="Q22" s="27">
        <f>'По терминалам 2'!Q40</f>
      </c>
      <c r="S22" s="195">
        <v>1</v>
      </c>
    </row>
    <row r="23" ht="15.75">
      <c r="A23" s="195">
        <v>1</v>
      </c>
      <c r="B23" s="103">
        <v>13</v>
      </c>
      <c r="C23" s="313"/>
      <c r="D23" s="423"/>
      <c r="E23" s="13">
        <f>'По терминалам 2'!E41</f>
      </c>
      <c r="F23" s="342"/>
      <c r="G23" s="13">
        <f>'По терминалам 2'!G41</f>
      </c>
      <c r="H23" s="14">
        <f>'По терминалам 2'!H41</f>
      </c>
      <c r="I23" s="14">
        <f>'По терминалам 2'!I41</f>
      </c>
      <c r="J23" s="334">
        <f>'По терминалам 2'!J41</f>
      </c>
      <c r="K23" s="335">
        <f>'По терминалам 2'!K41</f>
      </c>
      <c r="L23" s="336">
        <f>'По терминалам 2'!L41</f>
      </c>
      <c r="M23" s="357">
        <f>'По терминалам 2'!M41</f>
      </c>
      <c r="N23" s="357">
        <f>'По терминалам 2'!N41</f>
      </c>
      <c r="O23" s="357">
        <f>'По терминалам 2'!O41</f>
      </c>
      <c r="P23" s="357">
        <f>'По терминалам 2'!P41</f>
      </c>
      <c r="Q23" s="358">
        <f>'По терминалам 2'!Q41</f>
      </c>
      <c r="S23" s="195">
        <v>1</v>
      </c>
    </row>
    <row r="24" ht="30" customHeight="1" s="195" customFormat="1">
      <c r="A24" s="195">
        <v>1</v>
      </c>
      <c r="B24" s="494">
        <v>14</v>
      </c>
      <c r="C24" s="307" t="s">
        <v>42</v>
      </c>
      <c r="D24" s="455" t="s">
        <v>103</v>
      </c>
      <c r="E24" s="191">
        <f>'По терминалам 2'!E74</f>
      </c>
      <c r="F24" s="339" t="s">
        <v>104</v>
      </c>
      <c r="G24" s="191">
        <f>'По терминалам 2'!G74</f>
      </c>
      <c r="H24" s="231">
        <f>'По терминалам 2'!H74</f>
      </c>
      <c r="I24" s="231">
        <f>'По терминалам 2'!I74</f>
      </c>
      <c r="J24" s="187">
        <f>'По терминалам 2'!J74</f>
      </c>
      <c r="K24" s="231">
        <f>'По терминалам 2'!K74</f>
      </c>
      <c r="L24" s="231">
        <f>'По терминалам 2'!L74</f>
      </c>
      <c r="M24" s="5">
        <f>'По терминалам 2'!M74</f>
      </c>
      <c r="N24" s="5">
        <f>'По терминалам 2'!N74</f>
      </c>
      <c r="O24" s="5">
        <f>'По терминалам 2'!O74</f>
      </c>
      <c r="P24" s="231">
        <f>'По терминалам 2'!P74</f>
      </c>
      <c r="Q24" s="201">
        <f>'По терминалам 2'!Q74</f>
      </c>
      <c r="S24" s="195">
        <v>1</v>
      </c>
    </row>
    <row r="25" s="195" customFormat="1">
      <c r="A25" s="195">
        <v>1</v>
      </c>
      <c r="B25" s="103">
        <v>15</v>
      </c>
      <c r="C25" s="310"/>
      <c r="D25" s="427"/>
      <c r="E25" s="192">
        <f>'По терминалам 2'!E75</f>
      </c>
      <c r="F25" s="340"/>
      <c r="G25" s="192">
        <f>'По терминалам 2'!G75</f>
      </c>
      <c r="H25" s="173">
        <f>'По терминалам 2'!H75</f>
      </c>
      <c r="I25" s="173">
        <f>'По терминалам 2'!I75</f>
      </c>
      <c r="J25" s="188">
        <f>'По терминалам 2'!J75</f>
      </c>
      <c r="K25" s="173">
        <f>'По терминалам 2'!K75</f>
      </c>
      <c r="L25" s="173">
        <f>'По терминалам 2'!L75</f>
      </c>
      <c r="M25" s="213">
        <f>'По терминалам 2'!M75</f>
      </c>
      <c r="N25" s="213">
        <f>'По терминалам 2'!N75</f>
      </c>
      <c r="O25" s="213">
        <f>'По терминалам 2'!O75</f>
      </c>
      <c r="P25" s="173">
        <f>'По терминалам 2'!P75</f>
      </c>
      <c r="Q25" s="23">
        <f>'По терминалам 2'!Q75</f>
      </c>
      <c r="S25" s="195">
        <v>1</v>
      </c>
    </row>
    <row r="26" s="195" customFormat="1">
      <c r="A26" s="195">
        <v>1</v>
      </c>
      <c r="B26" s="494">
        <v>16</v>
      </c>
      <c r="C26" s="310"/>
      <c r="D26" s="427"/>
      <c r="E26" s="192">
        <f>'По терминалам 2'!E76</f>
      </c>
      <c r="F26" s="340"/>
      <c r="G26" s="192">
        <f>'По терминалам 2'!G76</f>
      </c>
      <c r="H26" s="173">
        <f>'По терминалам 2'!H76</f>
      </c>
      <c r="I26" s="173">
        <f>'По терминалам 2'!I76</f>
      </c>
      <c r="J26" s="188">
        <f>'По терминалам 2'!J76</f>
      </c>
      <c r="K26" s="173">
        <f>'По терминалам 2'!K76</f>
      </c>
      <c r="L26" s="173">
        <f>'По терминалам 2'!L76</f>
      </c>
      <c r="M26" s="213">
        <f>'По терминалам 2'!M76</f>
      </c>
      <c r="N26" s="213">
        <f>'По терминалам 2'!N76</f>
      </c>
      <c r="O26" s="213">
        <f>'По терминалам 2'!O76</f>
      </c>
      <c r="P26" s="173">
        <f>'По терминалам 2'!P76</f>
      </c>
      <c r="Q26" s="23">
        <f>'По терминалам 2'!Q76</f>
      </c>
      <c r="S26" s="195">
        <v>1</v>
      </c>
    </row>
    <row r="27" s="195" customFormat="1">
      <c r="A27" s="195">
        <v>1</v>
      </c>
      <c r="B27" s="103">
        <v>17</v>
      </c>
      <c r="C27" s="310"/>
      <c r="D27" s="427"/>
      <c r="E27" s="192">
        <f>'По терминалам 2'!E77</f>
      </c>
      <c r="F27" s="340"/>
      <c r="G27" s="192">
        <f>'По терминалам 2'!G77</f>
      </c>
      <c r="H27" s="173">
        <f>'По терминалам 2'!H77</f>
      </c>
      <c r="I27" s="173">
        <f>'По терминалам 2'!I77</f>
      </c>
      <c r="J27" s="188">
        <f>'По терминалам 2'!J77</f>
      </c>
      <c r="K27" s="173">
        <f>'По терминалам 2'!K77</f>
      </c>
      <c r="L27" s="173">
        <f>'По терминалам 2'!L77</f>
      </c>
      <c r="M27" s="213">
        <f>'По терминалам 2'!M77</f>
      </c>
      <c r="N27" s="213">
        <f>'По терминалам 2'!N77</f>
      </c>
      <c r="O27" s="213">
        <f>'По терминалам 2'!O77</f>
      </c>
      <c r="P27" s="173">
        <f>'По терминалам 2'!P77</f>
      </c>
      <c r="Q27" s="23">
        <f>'По терминалам 2'!Q77</f>
      </c>
      <c r="S27" s="195">
        <v>1</v>
      </c>
    </row>
    <row r="28">
      <c r="A28" s="195">
        <v>1</v>
      </c>
      <c r="B28" s="494">
        <v>18</v>
      </c>
      <c r="C28" s="310"/>
      <c r="D28" s="426" t="s">
        <v>27</v>
      </c>
      <c r="E28" s="198">
        <f>'По терминалам 2'!E16</f>
      </c>
      <c r="F28" s="359" t="s">
        <v>24</v>
      </c>
      <c r="G28" s="198">
        <f>'По терминалам 2'!G16</f>
      </c>
      <c r="H28" s="198">
        <f>'По терминалам 2'!H16</f>
      </c>
      <c r="I28" s="198">
        <f>'По терминалам 2'!I16</f>
      </c>
      <c r="J28" s="198">
        <f>'По терминалам 2'!J16</f>
      </c>
      <c r="K28" s="198">
        <f>'По терминалам 2'!K16</f>
      </c>
      <c r="L28" s="198">
        <f>'По терминалам 2'!L16</f>
      </c>
      <c r="M28" s="359">
        <f>'По терминалам 2'!M16</f>
      </c>
      <c r="N28" s="198">
        <f>'По терминалам 2'!N16</f>
      </c>
      <c r="O28" s="198">
        <f>'По терминалам 2'!O16</f>
      </c>
      <c r="P28" s="198">
        <f>'По терминалам 2'!P16</f>
      </c>
      <c r="Q28" s="222">
        <f>'По терминалам 2'!Q16</f>
      </c>
      <c r="S28" s="1">
        <v>1</v>
      </c>
    </row>
    <row r="29">
      <c r="A29" s="195">
        <v>1</v>
      </c>
      <c r="B29" s="103">
        <v>19</v>
      </c>
      <c r="C29" s="310"/>
      <c r="D29" s="427"/>
      <c r="E29" s="192">
        <f>'По терминалам 2'!E17</f>
      </c>
      <c r="F29" s="340"/>
      <c r="G29" s="192">
        <f>'По терминалам 2'!G17</f>
      </c>
      <c r="H29" s="192">
        <f>'По терминалам 2'!H17</f>
      </c>
      <c r="I29" s="192">
        <f>'По терминалам 2'!I17</f>
      </c>
      <c r="J29" s="192">
        <f>'По терминалам 2'!J17</f>
      </c>
      <c r="K29" s="192">
        <f>'По терминалам 2'!K17</f>
      </c>
      <c r="L29" s="192">
        <f>'По терминалам 2'!L17</f>
      </c>
      <c r="M29" s="340">
        <f>'По терминалам 2'!M17</f>
      </c>
      <c r="N29" s="192">
        <f>'По терминалам 2'!N17</f>
      </c>
      <c r="O29" s="192">
        <f>'По терминалам 2'!O17</f>
      </c>
      <c r="P29" s="192">
        <f>'По терминалам 2'!P17</f>
      </c>
      <c r="Q29" s="194">
        <f>'По терминалам 2'!Q17</f>
      </c>
      <c r="S29" s="1">
        <v>1</v>
      </c>
    </row>
    <row r="30">
      <c r="A30" s="195">
        <v>1</v>
      </c>
      <c r="B30" s="494">
        <v>20</v>
      </c>
      <c r="C30" s="310"/>
      <c r="D30" s="427"/>
      <c r="E30" s="192">
        <f>'По терминалам 2'!E18</f>
      </c>
      <c r="F30" s="340"/>
      <c r="G30" s="192">
        <f>'По терминалам 2'!G18</f>
      </c>
      <c r="H30" s="192">
        <f>'По терминалам 2'!H18</f>
      </c>
      <c r="I30" s="192">
        <f>'По терминалам 2'!I18</f>
      </c>
      <c r="J30" s="192">
        <f>'По терминалам 2'!J18</f>
      </c>
      <c r="K30" s="192">
        <f>'По терминалам 2'!K18</f>
      </c>
      <c r="L30" s="192">
        <f>'По терминалам 2'!L18</f>
      </c>
      <c r="M30" s="340">
        <f>'По терминалам 2'!M18</f>
      </c>
      <c r="N30" s="192">
        <f>'По терминалам 2'!N18</f>
      </c>
      <c r="O30" s="192">
        <f>'По терминалам 2'!O18</f>
      </c>
      <c r="P30" s="192">
        <f>'По терминалам 2'!P18</f>
      </c>
      <c r="Q30" s="194">
        <f>'По терминалам 2'!Q18</f>
      </c>
      <c r="S30" s="1">
        <v>1</v>
      </c>
    </row>
    <row r="31" ht="15.75">
      <c r="A31" s="195">
        <v>1</v>
      </c>
      <c r="B31" s="103">
        <v>21</v>
      </c>
      <c r="C31" s="310"/>
      <c r="D31" s="428"/>
      <c r="E31" s="189">
        <f>'По терминалам 2'!E19</f>
      </c>
      <c r="F31" s="342"/>
      <c r="G31" s="189">
        <f>'По терминалам 2'!G19</f>
      </c>
      <c r="H31" s="189">
        <f>'По терминалам 2'!H19</f>
      </c>
      <c r="I31" s="189">
        <f>'По терминалам 2'!I19</f>
      </c>
      <c r="J31" s="189">
        <f>'По терминалам 2'!J19</f>
      </c>
      <c r="K31" s="189">
        <f>'По терминалам 2'!K19</f>
      </c>
      <c r="L31" s="189">
        <f>'По терминалам 2'!L19</f>
      </c>
      <c r="M31" s="357">
        <f>'По терминалам 2'!M19</f>
      </c>
      <c r="N31" s="357">
        <f>'По терминалам 2'!N19</f>
      </c>
      <c r="O31" s="357">
        <f>'По терминалам 2'!O19</f>
      </c>
      <c r="P31" s="357">
        <f>'По терминалам 2'!P19</f>
      </c>
      <c r="Q31" s="358">
        <f>'По терминалам 2'!Q19</f>
      </c>
      <c r="S31" s="1">
        <v>1</v>
      </c>
    </row>
    <row r="32" ht="15.75">
      <c r="A32" s="195">
        <v>1</v>
      </c>
      <c r="B32" s="494">
        <v>22</v>
      </c>
      <c r="C32" s="310"/>
      <c r="D32" s="209" t="s">
        <v>27</v>
      </c>
      <c r="E32" s="179">
        <f>'По терминалам 2'!E20</f>
      </c>
      <c r="F32" s="179" t="s">
        <v>24</v>
      </c>
      <c r="G32" s="179">
        <f>'По терминалам 2'!G20</f>
      </c>
      <c r="H32" s="179">
        <f>'По терминалам 2'!H20</f>
      </c>
      <c r="I32" s="179">
        <f>'По терминалам 2'!I20</f>
      </c>
      <c r="J32" s="47">
        <f>'По терминалам 2'!J20</f>
      </c>
      <c r="K32" s="179">
        <f>'По терминалам 2'!K20</f>
      </c>
      <c r="L32" s="179">
        <f>'По терминалам 2'!L20</f>
      </c>
      <c r="M32" s="47">
        <f>'По терминалам 2'!M20</f>
      </c>
      <c r="N32" s="47">
        <f>'По терминалам 2'!N20</f>
      </c>
      <c r="O32" s="47">
        <f>'По терминалам 2'!O20</f>
      </c>
      <c r="P32" s="179">
        <f>'По терминалам 2'!P20</f>
      </c>
      <c r="Q32" s="60">
        <f>'По терминалам 2'!Q20</f>
      </c>
      <c r="S32" s="1">
        <v>1</v>
      </c>
    </row>
    <row r="33">
      <c r="A33" s="195">
        <v>1</v>
      </c>
      <c r="B33" s="103">
        <v>23</v>
      </c>
      <c r="C33" s="310"/>
      <c r="D33" s="455" t="s">
        <v>69</v>
      </c>
      <c r="E33" s="191">
        <f>'По терминалам 2'!E42</f>
      </c>
      <c r="F33" s="339" t="s">
        <v>71</v>
      </c>
      <c r="G33" s="191">
        <f>'По терминалам 2'!G42</f>
      </c>
      <c r="H33" s="191">
        <f>'По терминалам 2'!H42</f>
      </c>
      <c r="I33" s="191">
        <f>'По терминалам 2'!I42</f>
      </c>
      <c r="J33" s="328">
        <f>'По терминалам 2'!J42</f>
      </c>
      <c r="K33" s="329">
        <f>'По терминалам 2'!K42</f>
      </c>
      <c r="L33" s="330">
        <f>'По терминалам 2'!L42</f>
      </c>
      <c r="M33" s="339">
        <f>'По терминалам 2'!M42</f>
      </c>
      <c r="N33" s="191">
        <f>'По терминалам 2'!N42</f>
      </c>
      <c r="O33" s="191">
        <f>'По терминалам 2'!O42</f>
      </c>
      <c r="P33" s="191">
        <f>'По терминалам 2'!P42</f>
      </c>
      <c r="Q33" s="193">
        <f>'По терминалам 2'!Q42</f>
      </c>
      <c r="S33" s="1">
        <v>1</v>
      </c>
    </row>
    <row r="34">
      <c r="A34" s="195">
        <v>1</v>
      </c>
      <c r="B34" s="494">
        <v>24</v>
      </c>
      <c r="C34" s="310"/>
      <c r="D34" s="427"/>
      <c r="E34" s="192">
        <f>'По терминалам 2'!E43</f>
      </c>
      <c r="F34" s="340"/>
      <c r="G34" s="192">
        <f>'По терминалам 2'!G43</f>
      </c>
      <c r="H34" s="192">
        <f>'По терминалам 2'!H43</f>
      </c>
      <c r="I34" s="192">
        <f>'По терминалам 2'!I43</f>
      </c>
      <c r="J34" s="331">
        <f>'По терминалам 2'!J43</f>
      </c>
      <c r="K34" s="332">
        <f>'По терминалам 2'!K43</f>
      </c>
      <c r="L34" s="333">
        <f>'По терминалам 2'!L43</f>
      </c>
      <c r="M34" s="340">
        <f>'По терминалам 2'!M43</f>
      </c>
      <c r="N34" s="192">
        <f>'По терминалам 2'!N43</f>
      </c>
      <c r="O34" s="192">
        <f>'По терминалам 2'!O43</f>
      </c>
      <c r="P34" s="192">
        <f>'По терминалам 2'!P43</f>
      </c>
      <c r="Q34" s="194">
        <f>'По терминалам 2'!Q43</f>
      </c>
      <c r="S34" s="1">
        <v>1</v>
      </c>
    </row>
    <row r="35">
      <c r="A35" s="195">
        <v>1</v>
      </c>
      <c r="B35" s="103">
        <v>25</v>
      </c>
      <c r="C35" s="310"/>
      <c r="D35" s="427"/>
      <c r="E35" s="192">
        <f>'По терминалам 2'!E44</f>
      </c>
      <c r="F35" s="340"/>
      <c r="G35" s="192">
        <f>'По терминалам 2'!G44</f>
      </c>
      <c r="H35" s="192">
        <f>'По терминалам 2'!H44</f>
      </c>
      <c r="I35" s="192">
        <f>'По терминалам 2'!I44</f>
      </c>
      <c r="J35" s="331">
        <f>'По терминалам 2'!J44</f>
      </c>
      <c r="K35" s="332">
        <f>'По терминалам 2'!K44</f>
      </c>
      <c r="L35" s="333">
        <f>'По терминалам 2'!L44</f>
      </c>
      <c r="M35" s="340">
        <f>'По терминалам 2'!M44</f>
      </c>
      <c r="N35" s="192">
        <f>'По терминалам 2'!N44</f>
      </c>
      <c r="O35" s="192">
        <f>'По терминалам 2'!O44</f>
      </c>
      <c r="P35" s="192">
        <f>'По терминалам 2'!P44</f>
      </c>
      <c r="Q35" s="194">
        <f>'По терминалам 2'!Q44</f>
      </c>
      <c r="S35" s="1">
        <v>1</v>
      </c>
    </row>
    <row r="36" ht="15.75">
      <c r="A36" s="195">
        <v>1</v>
      </c>
      <c r="B36" s="494">
        <v>26</v>
      </c>
      <c r="C36" s="313"/>
      <c r="D36" s="428"/>
      <c r="E36" s="189">
        <f>'По терминалам 2'!E45</f>
      </c>
      <c r="F36" s="342"/>
      <c r="G36" s="189">
        <f>'По терминалам 2'!G45</f>
      </c>
      <c r="H36" s="189">
        <f>'По терминалам 2'!H45</f>
      </c>
      <c r="I36" s="189">
        <f>'По терминалам 2'!I45</f>
      </c>
      <c r="J36" s="334">
        <f>'По терминалам 2'!J45</f>
      </c>
      <c r="K36" s="335">
        <f>'По терминалам 2'!K45</f>
      </c>
      <c r="L36" s="336">
        <f>'По терминалам 2'!L45</f>
      </c>
      <c r="M36" s="357">
        <f>'По терминалам 2'!M45</f>
      </c>
      <c r="N36" s="357">
        <f>'По терминалам 2'!N45</f>
      </c>
      <c r="O36" s="357">
        <f>'По терминалам 2'!O45</f>
      </c>
      <c r="P36" s="357">
        <f>'По терминалам 2'!P45</f>
      </c>
      <c r="Q36" s="358">
        <f>'По терминалам 2'!Q45</f>
      </c>
      <c r="S36" s="1">
        <v>1</v>
      </c>
    </row>
    <row r="37" ht="15" customHeight="1" s="195" customFormat="1">
      <c r="A37" s="195">
        <v>1</v>
      </c>
      <c r="B37" s="103">
        <v>27</v>
      </c>
      <c r="C37" s="490" t="s">
        <v>50</v>
      </c>
      <c r="D37" s="456" t="s">
        <v>106</v>
      </c>
      <c r="E37" s="205">
        <f>'По терминалам 2'!E82</f>
      </c>
      <c r="F37" s="458" t="s">
        <v>105</v>
      </c>
      <c r="G37" s="226">
        <f>'По терминалам 2'!G82</f>
      </c>
      <c r="H37" s="227">
        <f>'По терминалам 2'!H82</f>
      </c>
      <c r="I37" s="227">
        <f>'По терминалам 2'!I82</f>
      </c>
      <c r="J37" s="228">
        <f>'По терминалам 2'!J82</f>
      </c>
      <c r="K37" s="227">
        <f>'По терминалам 2'!K82</f>
      </c>
      <c r="L37" s="227">
        <f>'По терминалам 2'!L82</f>
      </c>
      <c r="M37" s="226">
        <f>'По терминалам 2'!M82</f>
      </c>
      <c r="N37" s="226">
        <f>'По терминалам 2'!N82</f>
      </c>
      <c r="O37" s="226">
        <f>'По терминалам 2'!O82</f>
      </c>
      <c r="P37" s="227">
        <f>'По терминалам 2'!P82</f>
      </c>
      <c r="Q37" s="229">
        <f>'По терминалам 2'!Q82</f>
      </c>
      <c r="S37" s="195">
        <v>1</v>
      </c>
    </row>
    <row r="38" s="195" customFormat="1">
      <c r="A38" s="195">
        <v>1</v>
      </c>
      <c r="B38" s="494">
        <v>28</v>
      </c>
      <c r="C38" s="491"/>
      <c r="D38" s="457"/>
      <c r="E38" s="206">
        <f>'По терминалам 2'!E83</f>
      </c>
      <c r="F38" s="459"/>
      <c r="G38" s="215">
        <f>'По терминалам 2'!G83</f>
      </c>
      <c r="H38" s="216">
        <f>'По терминалам 2'!H83</f>
      </c>
      <c r="I38" s="216">
        <f>'По терминалам 2'!I83</f>
      </c>
      <c r="J38" s="217">
        <f>'По терминалам 2'!J83</f>
      </c>
      <c r="K38" s="216">
        <f>'По терминалам 2'!K83</f>
      </c>
      <c r="L38" s="216">
        <f>'По терминалам 2'!L83</f>
      </c>
      <c r="M38" s="215">
        <f>'По терминалам 2'!M83</f>
      </c>
      <c r="N38" s="215">
        <f>'По терминалам 2'!N83</f>
      </c>
      <c r="O38" s="215">
        <f>'По терминалам 2'!O83</f>
      </c>
      <c r="P38" s="216">
        <f>'По терминалам 2'!P83</f>
      </c>
      <c r="Q38" s="221">
        <f>'По терминалам 2'!Q83</f>
      </c>
      <c r="S38" s="195">
        <v>1</v>
      </c>
    </row>
    <row r="39" s="195" customFormat="1">
      <c r="A39" s="195">
        <v>1</v>
      </c>
      <c r="B39" s="103">
        <v>29</v>
      </c>
      <c r="C39" s="491"/>
      <c r="D39" s="457"/>
      <c r="E39" s="206">
        <f>'По терминалам 2'!E84</f>
      </c>
      <c r="F39" s="459"/>
      <c r="G39" s="215">
        <f>'По терминалам 2'!G84</f>
      </c>
      <c r="H39" s="216">
        <f>'По терминалам 2'!H84</f>
      </c>
      <c r="I39" s="216">
        <f>'По терминалам 2'!I84</f>
      </c>
      <c r="J39" s="217">
        <f>'По терминалам 2'!J84</f>
      </c>
      <c r="K39" s="216">
        <f>'По терминалам 2'!K84</f>
      </c>
      <c r="L39" s="216">
        <f>'По терминалам 2'!L84</f>
      </c>
      <c r="M39" s="215">
        <f>'По терминалам 2'!M84</f>
      </c>
      <c r="N39" s="215">
        <f>'По терминалам 2'!N84</f>
      </c>
      <c r="O39" s="215">
        <f>'По терминалам 2'!O84</f>
      </c>
      <c r="P39" s="216">
        <f>'По терминалам 2'!P84</f>
      </c>
      <c r="Q39" s="221">
        <f>'По терминалам 2'!Q84</f>
      </c>
      <c r="S39" s="195">
        <v>1</v>
      </c>
    </row>
    <row r="40" s="195" customFormat="1">
      <c r="A40" s="195">
        <v>1</v>
      </c>
      <c r="B40" s="494">
        <v>30</v>
      </c>
      <c r="C40" s="491"/>
      <c r="D40" s="457"/>
      <c r="E40" s="206">
        <f>'По терминалам 2'!E85</f>
      </c>
      <c r="F40" s="460"/>
      <c r="G40" s="215">
        <f>'По терминалам 2'!G85</f>
      </c>
      <c r="H40" s="216">
        <f>'По терминалам 2'!H85</f>
      </c>
      <c r="I40" s="216">
        <f>'По терминалам 2'!I85</f>
      </c>
      <c r="J40" s="217">
        <f>'По терминалам 2'!J85</f>
      </c>
      <c r="K40" s="216">
        <f>'По терминалам 2'!K85</f>
      </c>
      <c r="L40" s="216">
        <f>'По терминалам 2'!L85</f>
      </c>
      <c r="M40" s="215">
        <f>'По терминалам 2'!M85</f>
      </c>
      <c r="N40" s="215">
        <f>'По терминалам 2'!N85</f>
      </c>
      <c r="O40" s="215">
        <f>'По терминалам 2'!O85</f>
      </c>
      <c r="P40" s="216">
        <f>'По терминалам 2'!P85</f>
      </c>
      <c r="Q40" s="221">
        <f>'По терминалам 2'!Q85</f>
      </c>
      <c r="S40" s="195">
        <v>1</v>
      </c>
    </row>
    <row r="41">
      <c r="A41" s="195">
        <v>1</v>
      </c>
      <c r="B41" s="103">
        <v>31</v>
      </c>
      <c r="C41" s="491"/>
      <c r="D41" s="461" t="s">
        <v>27</v>
      </c>
      <c r="E41" s="211">
        <f>'По терминалам 2'!E21</f>
      </c>
      <c r="F41" s="424" t="s">
        <v>24</v>
      </c>
      <c r="G41" s="211">
        <f>'По терминалам 2'!G21</f>
      </c>
      <c r="H41" s="50">
        <f>'По терминалам 2'!H21</f>
      </c>
      <c r="I41" s="51">
        <f>'По терминалам 2'!I21</f>
      </c>
      <c r="J41" s="211">
        <f>'По терминалам 2'!J21</f>
      </c>
      <c r="K41" s="211">
        <f>'По терминалам 2'!K21</f>
      </c>
      <c r="L41" s="211">
        <f>'По терминалам 2'!L21</f>
      </c>
      <c r="M41" s="424">
        <f>'По терминалам 2'!M21</f>
      </c>
      <c r="N41" s="211">
        <f>'По терминалам 2'!N21</f>
      </c>
      <c r="O41" s="211">
        <f>'По терминалам 2'!O21</f>
      </c>
      <c r="P41" s="214">
        <f>'По терминалам 2'!P21</f>
      </c>
      <c r="Q41" s="58">
        <f>'По терминалам 2'!Q21</f>
      </c>
      <c r="S41" s="1">
        <v>1</v>
      </c>
    </row>
    <row r="42">
      <c r="A42" s="195">
        <v>1</v>
      </c>
      <c r="B42" s="494">
        <v>32</v>
      </c>
      <c r="C42" s="491"/>
      <c r="D42" s="457"/>
      <c r="E42" s="206">
        <f>'По терминалам 2'!E22</f>
      </c>
      <c r="F42" s="425"/>
      <c r="G42" s="206">
        <f>'По терминалам 2'!G22</f>
      </c>
      <c r="H42" s="50">
        <f>'По терминалам 2'!H22</f>
      </c>
      <c r="I42" s="51">
        <f>'По терминалам 2'!I22</f>
      </c>
      <c r="J42" s="206">
        <f>'По терминалам 2'!J22</f>
      </c>
      <c r="K42" s="206">
        <f>'По терминалам 2'!K22</f>
      </c>
      <c r="L42" s="206">
        <f>'По терминалам 2'!L22</f>
      </c>
      <c r="M42" s="425">
        <f>'По терминалам 2'!M22</f>
      </c>
      <c r="N42" s="206">
        <f>'По терминалам 2'!N22</f>
      </c>
      <c r="O42" s="206">
        <f>'По терминалам 2'!O22</f>
      </c>
      <c r="P42" s="52">
        <f>'По терминалам 2'!P22</f>
      </c>
      <c r="Q42" s="53">
        <f>'По терминалам 2'!Q22</f>
      </c>
      <c r="S42" s="1">
        <v>1</v>
      </c>
    </row>
    <row r="43">
      <c r="A43" s="195">
        <v>1</v>
      </c>
      <c r="B43" s="103">
        <v>33</v>
      </c>
      <c r="C43" s="491"/>
      <c r="D43" s="457"/>
      <c r="E43" s="206">
        <f>'По терминалам 2'!E23</f>
      </c>
      <c r="F43" s="425"/>
      <c r="G43" s="206">
        <f>'По терминалам 2'!G23</f>
      </c>
      <c r="H43" s="50">
        <f>'По терминалам 2'!H23</f>
      </c>
      <c r="I43" s="51">
        <f>'По терминалам 2'!I23</f>
      </c>
      <c r="J43" s="206">
        <f>'По терминалам 2'!J23</f>
      </c>
      <c r="K43" s="206">
        <f>'По терминалам 2'!K23</f>
      </c>
      <c r="L43" s="206">
        <f>'По терминалам 2'!L23</f>
      </c>
      <c r="M43" s="425">
        <f>'По терминалам 2'!M23</f>
      </c>
      <c r="N43" s="206">
        <f>'По терминалам 2'!N23</f>
      </c>
      <c r="O43" s="206">
        <f>'По терминалам 2'!O23</f>
      </c>
      <c r="P43" s="52">
        <f>'По терминалам 2'!P23</f>
      </c>
      <c r="Q43" s="53">
        <f>'По терминалам 2'!Q23</f>
      </c>
      <c r="S43" s="1">
        <v>1</v>
      </c>
    </row>
    <row r="44" ht="15.75">
      <c r="A44" s="195">
        <v>1</v>
      </c>
      <c r="B44" s="494">
        <v>34</v>
      </c>
      <c r="C44" s="491"/>
      <c r="D44" s="463"/>
      <c r="E44" s="207">
        <f>'По терминалам 2'!E24</f>
      </c>
      <c r="F44" s="432"/>
      <c r="G44" s="207">
        <f>'По терминалам 2'!G24</f>
      </c>
      <c r="H44" s="54">
        <f>'По терминалам 2'!H24</f>
      </c>
      <c r="I44" s="55">
        <f>'По терминалам 2'!I24</f>
      </c>
      <c r="J44" s="207">
        <f>'По терминалам 2'!J24</f>
      </c>
      <c r="K44" s="207">
        <f>'По терминалам 2'!K24</f>
      </c>
      <c r="L44" s="207">
        <f>'По терминалам 2'!L24</f>
      </c>
      <c r="M44" s="429">
        <f>'По терминалам 2'!M24</f>
      </c>
      <c r="N44" s="429">
        <f>'По терминалам 2'!N24</f>
      </c>
      <c r="O44" s="429">
        <f>'По терминалам 2'!O24</f>
      </c>
      <c r="P44" s="429">
        <f>'По терминалам 2'!P24</f>
      </c>
      <c r="Q44" s="430">
        <f>'По терминалам 2'!Q24</f>
      </c>
      <c r="S44" s="1">
        <v>1</v>
      </c>
    </row>
    <row r="45" ht="15.75">
      <c r="A45" s="195">
        <v>1</v>
      </c>
      <c r="B45" s="103">
        <v>35</v>
      </c>
      <c r="C45" s="491"/>
      <c r="D45" s="230" t="s">
        <v>27</v>
      </c>
      <c r="E45" s="210">
        <f>'По терминалам 2'!E25</f>
      </c>
      <c r="F45" s="210" t="s">
        <v>24</v>
      </c>
      <c r="G45" s="210">
        <f>'По терминалам 2'!G25</f>
      </c>
      <c r="H45" s="210">
        <f>'По терминалам 2'!H25</f>
      </c>
      <c r="I45" s="210">
        <f>'По терминалам 2'!I25</f>
      </c>
      <c r="J45" s="56">
        <f>'По терминалам 2'!J25</f>
      </c>
      <c r="K45" s="210">
        <f>'По терминалам 2'!K25</f>
      </c>
      <c r="L45" s="210">
        <f>'По терминалам 2'!L25</f>
      </c>
      <c r="M45" s="56">
        <f>'По терминалам 2'!M25</f>
      </c>
      <c r="N45" s="56">
        <f>'По терминалам 2'!N25</f>
      </c>
      <c r="O45" s="56">
        <f>'По терминалам 2'!O25</f>
      </c>
      <c r="P45" s="56">
        <f>'По терминалам 2'!P25</f>
      </c>
      <c r="Q45" s="57">
        <f>'По терминалам 2'!Q25</f>
      </c>
      <c r="S45" s="1">
        <v>1</v>
      </c>
    </row>
    <row r="46">
      <c r="A46" s="195">
        <v>1</v>
      </c>
      <c r="B46" s="494">
        <v>36</v>
      </c>
      <c r="C46" s="491"/>
      <c r="D46" s="456" t="s">
        <v>69</v>
      </c>
      <c r="E46" s="205">
        <f>'По терминалам 2'!E46</f>
      </c>
      <c r="F46" s="431" t="s">
        <v>71</v>
      </c>
      <c r="G46" s="205">
        <f>'По терминалам 2'!G46</f>
      </c>
      <c r="H46" s="205">
        <f>'По терминалам 2'!H46</f>
      </c>
      <c r="I46" s="205">
        <f>'По терминалам 2'!I46</f>
      </c>
      <c r="J46" s="433">
        <f>'По терминалам 2'!J46</f>
      </c>
      <c r="K46" s="434">
        <f>'По терминалам 2'!K46</f>
      </c>
      <c r="L46" s="435">
        <f>'По терминалам 2'!L46</f>
      </c>
      <c r="M46" s="431">
        <f>'По терминалам 2'!M46</f>
      </c>
      <c r="N46" s="205">
        <f>'По терминалам 2'!N46</f>
      </c>
      <c r="O46" s="205">
        <f>'По терминалам 2'!O46</f>
      </c>
      <c r="P46" s="48">
        <f>'По терминалам 2'!P46</f>
      </c>
      <c r="Q46" s="49">
        <f>'По терминалам 2'!Q46</f>
      </c>
      <c r="S46" s="1">
        <v>1</v>
      </c>
    </row>
    <row r="47">
      <c r="A47" s="195">
        <v>1</v>
      </c>
      <c r="B47" s="103">
        <v>37</v>
      </c>
      <c r="C47" s="491"/>
      <c r="D47" s="457"/>
      <c r="E47" s="206">
        <f>'По терминалам 2'!E47</f>
      </c>
      <c r="F47" s="425"/>
      <c r="G47" s="206">
        <f>'По терминалам 2'!G47</f>
      </c>
      <c r="H47" s="206">
        <f>'По терминалам 2'!H47</f>
      </c>
      <c r="I47" s="206">
        <f>'По терминалам 2'!I47</f>
      </c>
      <c r="J47" s="436">
        <f>'По терминалам 2'!J47</f>
      </c>
      <c r="K47" s="437">
        <f>'По терминалам 2'!K47</f>
      </c>
      <c r="L47" s="438">
        <f>'По терминалам 2'!L47</f>
      </c>
      <c r="M47" s="425">
        <f>'По терминалам 2'!M47</f>
      </c>
      <c r="N47" s="206">
        <f>'По терминалам 2'!N47</f>
      </c>
      <c r="O47" s="206">
        <f>'По терминалам 2'!O47</f>
      </c>
      <c r="P47" s="52">
        <f>'По терминалам 2'!P47</f>
      </c>
      <c r="Q47" s="53">
        <f>'По терминалам 2'!Q47</f>
      </c>
      <c r="S47" s="1">
        <v>1</v>
      </c>
    </row>
    <row r="48">
      <c r="A48" s="195">
        <v>1</v>
      </c>
      <c r="B48" s="494">
        <v>38</v>
      </c>
      <c r="C48" s="491"/>
      <c r="D48" s="457"/>
      <c r="E48" s="206">
        <f>'По терминалам 2'!E48</f>
      </c>
      <c r="F48" s="425"/>
      <c r="G48" s="206">
        <f>'По терминалам 2'!G48</f>
      </c>
      <c r="H48" s="206">
        <f>'По терминалам 2'!H48</f>
      </c>
      <c r="I48" s="206">
        <f>'По терминалам 2'!I48</f>
      </c>
      <c r="J48" s="436">
        <f>'По терминалам 2'!J48</f>
      </c>
      <c r="K48" s="437">
        <f>'По терминалам 2'!K48</f>
      </c>
      <c r="L48" s="438">
        <f>'По терминалам 2'!L48</f>
      </c>
      <c r="M48" s="425">
        <f>'По терминалам 2'!M48</f>
      </c>
      <c r="N48" s="206">
        <f>'По терминалам 2'!N48</f>
      </c>
      <c r="O48" s="206">
        <f>'По терминалам 2'!O48</f>
      </c>
      <c r="P48" s="52">
        <f>'По терминалам 2'!P48</f>
      </c>
      <c r="Q48" s="53">
        <f>'По терминалам 2'!Q48</f>
      </c>
      <c r="S48" s="1">
        <v>1</v>
      </c>
    </row>
    <row r="49" ht="15.75">
      <c r="A49" s="195">
        <v>1</v>
      </c>
      <c r="B49" s="103">
        <v>39</v>
      </c>
      <c r="C49" s="492"/>
      <c r="D49" s="463"/>
      <c r="E49" s="207">
        <f>'По терминалам 2'!E49</f>
      </c>
      <c r="F49" s="432"/>
      <c r="G49" s="207">
        <f>'По терминалам 2'!G49</f>
      </c>
      <c r="H49" s="207">
        <f>'По терминалам 2'!H49</f>
      </c>
      <c r="I49" s="207">
        <f>'По терминалам 2'!I49</f>
      </c>
      <c r="J49" s="439">
        <f>'По терминалам 2'!J49</f>
      </c>
      <c r="K49" s="440">
        <f>'По терминалам 2'!K49</f>
      </c>
      <c r="L49" s="441">
        <f>'По терминалам 2'!L49</f>
      </c>
      <c r="M49" s="429">
        <f>'По терминалам 2'!M49</f>
      </c>
      <c r="N49" s="429">
        <f>'По терминалам 2'!N49</f>
      </c>
      <c r="O49" s="429">
        <f>'По терминалам 2'!O49</f>
      </c>
      <c r="P49" s="429">
        <f>'По терминалам 2'!P49</f>
      </c>
      <c r="Q49" s="430">
        <f>'По терминалам 2'!Q49</f>
      </c>
      <c r="S49" s="1">
        <v>1</v>
      </c>
    </row>
    <row r="50">
      <c r="A50" s="195">
        <v>1</v>
      </c>
      <c r="B50" s="494">
        <v>40</v>
      </c>
      <c r="C50" s="307" t="s">
        <v>58</v>
      </c>
      <c r="D50" s="421" t="s">
        <v>95</v>
      </c>
      <c r="E50" s="15">
        <f>'По терминалам 2'!E70</f>
      </c>
      <c r="F50" s="261" t="s">
        <v>24</v>
      </c>
      <c r="G50" s="305">
        <f>'По терминалам 2'!G70</f>
      </c>
      <c r="H50" s="306">
        <f>'По терминалам 2'!H70</f>
      </c>
      <c r="I50" s="314">
        <f>'По терминалам 2'!I70</f>
      </c>
      <c r="J50" s="22">
        <f>'По терминалам 2'!J70</f>
      </c>
      <c r="K50" s="15">
        <f>'По терминалам 2'!K70</f>
      </c>
      <c r="L50" s="15">
        <f>'По терминалам 2'!L70</f>
      </c>
      <c r="M50" s="305">
        <f>'По терминалам 2'!M70</f>
      </c>
      <c r="N50" s="306">
        <f>'По терминалам 2'!N70</f>
      </c>
      <c r="O50" s="306">
        <f>'По терминалам 2'!O70</f>
      </c>
      <c r="P50" s="306">
        <f>'По терминалам 2'!P70</f>
      </c>
      <c r="Q50" s="307">
        <f>'По терминалам 2'!Q70</f>
      </c>
      <c r="S50" s="1">
        <v>1</v>
      </c>
    </row>
    <row r="51">
      <c r="A51" s="195">
        <v>1</v>
      </c>
      <c r="B51" s="103">
        <v>41</v>
      </c>
      <c r="C51" s="310"/>
      <c r="D51" s="422"/>
      <c r="E51" s="11">
        <f>'По терминалам 2'!E71</f>
      </c>
      <c r="F51" s="326"/>
      <c r="G51" s="308">
        <f>'По терминалам 2'!G71</f>
      </c>
      <c r="H51" s="309">
        <f>'По терминалам 2'!H71</f>
      </c>
      <c r="I51" s="315">
        <f>'По терминалам 2'!I71</f>
      </c>
      <c r="J51" s="18">
        <f>'По терминалам 2'!J71</f>
      </c>
      <c r="K51" s="11">
        <f>'По терминалам 2'!K71</f>
      </c>
      <c r="L51" s="11">
        <f>'По терминалам 2'!L71</f>
      </c>
      <c r="M51" s="308">
        <f>'По терминалам 2'!M71</f>
      </c>
      <c r="N51" s="309">
        <f>'По терминалам 2'!N71</f>
      </c>
      <c r="O51" s="309">
        <f>'По терминалам 2'!O71</f>
      </c>
      <c r="P51" s="309">
        <f>'По терминалам 2'!P71</f>
      </c>
      <c r="Q51" s="310">
        <f>'По терминалам 2'!Q71</f>
      </c>
      <c r="S51" s="1">
        <v>1</v>
      </c>
    </row>
    <row r="52">
      <c r="A52" s="195">
        <v>1</v>
      </c>
      <c r="B52" s="494">
        <v>42</v>
      </c>
      <c r="C52" s="310"/>
      <c r="D52" s="422"/>
      <c r="E52" s="12">
        <f>'По терминалам 2'!E72</f>
      </c>
      <c r="F52" s="326"/>
      <c r="G52" s="308">
        <f>'По терминалам 2'!G72</f>
      </c>
      <c r="H52" s="309">
        <f>'По терминалам 2'!H72</f>
      </c>
      <c r="I52" s="315">
        <f>'По терминалам 2'!I72</f>
      </c>
      <c r="J52" s="18">
        <f>'По терминалам 2'!J72</f>
      </c>
      <c r="K52" s="11">
        <f>'По терминалам 2'!K72</f>
      </c>
      <c r="L52" s="11">
        <f>'По терминалам 2'!L72</f>
      </c>
      <c r="M52" s="308">
        <f>'По терминалам 2'!M72</f>
      </c>
      <c r="N52" s="309">
        <f>'По терминалам 2'!N72</f>
      </c>
      <c r="O52" s="309">
        <f>'По терминалам 2'!O72</f>
      </c>
      <c r="P52" s="309">
        <f>'По терминалам 2'!P72</f>
      </c>
      <c r="Q52" s="310">
        <f>'По терминалам 2'!Q72</f>
      </c>
      <c r="S52" s="1">
        <v>1</v>
      </c>
    </row>
    <row r="53" ht="15.75">
      <c r="A53" s="195">
        <v>1</v>
      </c>
      <c r="B53" s="103">
        <v>43</v>
      </c>
      <c r="C53" s="310"/>
      <c r="D53" s="423"/>
      <c r="E53" s="13">
        <f>'По терминалам 2'!E73</f>
      </c>
      <c r="F53" s="262"/>
      <c r="G53" s="311">
        <f>'По терминалам 2'!G73</f>
      </c>
      <c r="H53" s="312">
        <f>'По терминалам 2'!H73</f>
      </c>
      <c r="I53" s="316">
        <f>'По терминалам 2'!I73</f>
      </c>
      <c r="J53" s="24">
        <f>'По терминалам 2'!J73</f>
      </c>
      <c r="K53" s="14">
        <f>'По терминалам 2'!K73</f>
      </c>
      <c r="L53" s="14">
        <f>'По терминалам 2'!L73</f>
      </c>
      <c r="M53" s="311">
        <f>'По терминалам 2'!M73</f>
      </c>
      <c r="N53" s="312">
        <f>'По терминалам 2'!N73</f>
      </c>
      <c r="O53" s="312">
        <f>'По терминалам 2'!O73</f>
      </c>
      <c r="P53" s="312">
        <f>'По терминалам 2'!P73</f>
      </c>
      <c r="Q53" s="313">
        <f>'По терминалам 2'!Q73</f>
      </c>
      <c r="S53" s="1">
        <v>1</v>
      </c>
    </row>
    <row r="54">
      <c r="A54" s="195">
        <v>1</v>
      </c>
      <c r="B54" s="494">
        <v>44</v>
      </c>
      <c r="C54" s="310"/>
      <c r="D54" s="421" t="s">
        <v>59</v>
      </c>
      <c r="E54" s="15">
        <f>'По терминалам 2'!E26</f>
      </c>
      <c r="F54" s="339" t="s">
        <v>24</v>
      </c>
      <c r="G54" s="15">
        <f>'По терминалам 2'!G26</f>
      </c>
      <c r="H54" s="15">
        <f>'По терминалам 2'!H26</f>
      </c>
      <c r="I54" s="15">
        <f>'По терминалам 2'!I26</f>
      </c>
      <c r="J54" s="22">
        <f>'По терминалам 2'!J26</f>
      </c>
      <c r="K54" s="15">
        <f>'По терминалам 2'!K26</f>
      </c>
      <c r="L54" s="15">
        <f>'По терминалам 2'!L26</f>
      </c>
      <c r="M54" s="339">
        <f>'По терминалам 2'!M26</f>
      </c>
      <c r="N54" s="17">
        <f>'По терминалам 2'!N26</f>
      </c>
      <c r="O54" s="17">
        <f>'По терминалам 2'!O26</f>
      </c>
      <c r="P54" s="15">
        <f>'По терминалам 2'!P26</f>
      </c>
      <c r="Q54" s="15">
        <f>'По терминалам 2'!Q26</f>
      </c>
      <c r="S54" s="1">
        <v>1</v>
      </c>
    </row>
    <row r="55">
      <c r="A55" s="195">
        <v>1</v>
      </c>
      <c r="B55" s="103">
        <v>45</v>
      </c>
      <c r="C55" s="310"/>
      <c r="D55" s="422"/>
      <c r="E55" s="11">
        <f>'По терминалам 2'!E27</f>
      </c>
      <c r="F55" s="340"/>
      <c r="G55" s="11">
        <f>'По терминалам 2'!G27</f>
      </c>
      <c r="H55" s="11">
        <f>'По терминалам 2'!H27</f>
      </c>
      <c r="I55" s="11">
        <f>'По терминалам 2'!I27</f>
      </c>
      <c r="J55" s="18">
        <f>'По терминалам 2'!J27</f>
      </c>
      <c r="K55" s="11">
        <f>'По терминалам 2'!K27</f>
      </c>
      <c r="L55" s="11">
        <f>'По терминалам 2'!L27</f>
      </c>
      <c r="M55" s="340">
        <f>'По терминалам 2'!M27</f>
      </c>
      <c r="N55" s="12">
        <f>'По терминалам 2'!N27</f>
      </c>
      <c r="O55" s="12">
        <f>'По терминалам 2'!O27</f>
      </c>
      <c r="P55" s="11">
        <f>'По терминалам 2'!P27</f>
      </c>
      <c r="Q55" s="11">
        <f>'По терминалам 2'!Q27</f>
      </c>
      <c r="S55" s="1">
        <v>1</v>
      </c>
    </row>
    <row r="56">
      <c r="A56" s="195">
        <v>1</v>
      </c>
      <c r="B56" s="494">
        <v>46</v>
      </c>
      <c r="C56" s="310"/>
      <c r="D56" s="422"/>
      <c r="E56" s="12">
        <f>'По терминалам 2'!E28</f>
      </c>
      <c r="F56" s="340"/>
      <c r="G56" s="11">
        <f>'По терминалам 2'!G28</f>
      </c>
      <c r="H56" s="11">
        <f>'По терминалам 2'!H28</f>
      </c>
      <c r="I56" s="11">
        <f>'По терминалам 2'!I28</f>
      </c>
      <c r="J56" s="18">
        <f>'По терминалам 2'!J28</f>
      </c>
      <c r="K56" s="11">
        <f>'По терминалам 2'!K28</f>
      </c>
      <c r="L56" s="11">
        <f>'По терминалам 2'!L28</f>
      </c>
      <c r="M56" s="340">
        <f>'По терминалам 2'!M28</f>
      </c>
      <c r="N56" s="12">
        <f>'По терминалам 2'!N28</f>
      </c>
      <c r="O56" s="12">
        <f>'По терминалам 2'!O28</f>
      </c>
      <c r="P56" s="11">
        <f>'По терминалам 2'!P28</f>
      </c>
      <c r="Q56" s="11">
        <f>'По терминалам 2'!Q28</f>
      </c>
      <c r="S56" s="1">
        <v>1</v>
      </c>
    </row>
    <row r="57" ht="15.75">
      <c r="A57" s="195">
        <v>1</v>
      </c>
      <c r="B57" s="103">
        <v>47</v>
      </c>
      <c r="C57" s="310"/>
      <c r="D57" s="423"/>
      <c r="E57" s="13">
        <f>'По терминалам 2'!E29</f>
      </c>
      <c r="F57" s="342"/>
      <c r="G57" s="13">
        <f>'По терминалам 2'!G29</f>
      </c>
      <c r="H57" s="13">
        <f>'По терминалам 2'!H29</f>
      </c>
      <c r="I57" s="13">
        <f>'По терминалам 2'!I29</f>
      </c>
      <c r="J57" s="34">
        <f>'По терминалам 2'!J29</f>
      </c>
      <c r="K57" s="14">
        <f>'По терминалам 2'!K29</f>
      </c>
      <c r="L57" s="14">
        <f>'По терминалам 2'!L29</f>
      </c>
      <c r="M57" s="357">
        <f>'По терминалам 2'!M29</f>
      </c>
      <c r="N57" s="357">
        <f>'По терминалам 2'!N29</f>
      </c>
      <c r="O57" s="357">
        <f>'По терминалам 2'!O29</f>
      </c>
      <c r="P57" s="357">
        <f>'По терминалам 2'!P29</f>
      </c>
      <c r="Q57" s="358">
        <f>'По терминалам 2'!Q29</f>
      </c>
      <c r="S57" s="1">
        <v>1</v>
      </c>
    </row>
    <row r="58">
      <c r="A58" s="195">
        <v>1</v>
      </c>
      <c r="B58" s="494">
        <v>48</v>
      </c>
      <c r="C58" s="310"/>
      <c r="D58" s="421" t="s">
        <v>83</v>
      </c>
      <c r="E58" s="15">
        <f>'По терминалам 2'!E50</f>
      </c>
      <c r="F58" s="339" t="s">
        <v>85</v>
      </c>
      <c r="G58" s="17">
        <f>'По терминалам 2'!G50</f>
      </c>
      <c r="H58" s="15">
        <f>'По терминалам 2'!H50</f>
      </c>
      <c r="I58" s="15">
        <f>'По терминалам 2'!I50</f>
      </c>
      <c r="J58" s="17">
        <f>'По терминалам 2'!J50</f>
      </c>
      <c r="K58" s="15">
        <f>'По терминалам 2'!K50</f>
      </c>
      <c r="L58" s="15">
        <f>'По терминалам 2'!L50</f>
      </c>
      <c r="M58" s="339">
        <f>'По терминалам 2'!M50</f>
      </c>
      <c r="N58" s="17">
        <f>'По терминалам 2'!N50</f>
      </c>
      <c r="O58" s="17">
        <f>'По терминалам 2'!O50</f>
      </c>
      <c r="P58" s="15">
        <f>'По терминалам 2'!P50</f>
      </c>
      <c r="Q58" s="15">
        <f>'По терминалам 2'!Q50</f>
      </c>
      <c r="S58" s="1">
        <v>1</v>
      </c>
    </row>
    <row r="59">
      <c r="A59" s="195">
        <v>1</v>
      </c>
      <c r="B59" s="103">
        <v>49</v>
      </c>
      <c r="C59" s="310"/>
      <c r="D59" s="422"/>
      <c r="E59" s="11">
        <f>'По терминалам 2'!E51</f>
      </c>
      <c r="F59" s="340"/>
      <c r="G59" s="12">
        <f>'По терминалам 2'!G51</f>
      </c>
      <c r="H59" s="11">
        <f>'По терминалам 2'!H51</f>
      </c>
      <c r="I59" s="11">
        <f>'По терминалам 2'!I51</f>
      </c>
      <c r="J59" s="12">
        <f>'По терминалам 2'!J51</f>
      </c>
      <c r="K59" s="11">
        <f>'По терминалам 2'!K51</f>
      </c>
      <c r="L59" s="11">
        <f>'По терминалам 2'!L51</f>
      </c>
      <c r="M59" s="340">
        <f>'По терминалам 2'!M51</f>
      </c>
      <c r="N59" s="12">
        <f>'По терминалам 2'!N51</f>
      </c>
      <c r="O59" s="12">
        <f>'По терминалам 2'!O51</f>
      </c>
      <c r="P59" s="11">
        <f>'По терминалам 2'!P51</f>
      </c>
      <c r="Q59" s="11">
        <f>'По терминалам 2'!Q51</f>
      </c>
      <c r="S59" s="1">
        <v>1</v>
      </c>
    </row>
    <row r="60">
      <c r="A60" s="195">
        <v>1</v>
      </c>
      <c r="B60" s="494">
        <v>50</v>
      </c>
      <c r="C60" s="310"/>
      <c r="D60" s="422"/>
      <c r="E60" s="12">
        <f>'По терминалам 2'!E52</f>
      </c>
      <c r="F60" s="340"/>
      <c r="G60" s="12">
        <f>'По терминалам 2'!G52</f>
      </c>
      <c r="H60" s="11">
        <f>'По терминалам 2'!H52</f>
      </c>
      <c r="I60" s="11">
        <f>'По терминалам 2'!I52</f>
      </c>
      <c r="J60" s="12">
        <f>'По терминалам 2'!J52</f>
      </c>
      <c r="K60" s="11">
        <f>'По терминалам 2'!K52</f>
      </c>
      <c r="L60" s="11">
        <f>'По терминалам 2'!L52</f>
      </c>
      <c r="M60" s="340">
        <f>'По терминалам 2'!M52</f>
      </c>
      <c r="N60" s="12">
        <f>'По терминалам 2'!N52</f>
      </c>
      <c r="O60" s="12">
        <f>'По терминалам 2'!O52</f>
      </c>
      <c r="P60" s="11">
        <f>'По терминалам 2'!P52</f>
      </c>
      <c r="Q60" s="11">
        <f>'По терминалам 2'!Q52</f>
      </c>
      <c r="S60" s="1">
        <v>1</v>
      </c>
    </row>
    <row r="61" ht="15.75">
      <c r="A61" s="195">
        <v>1</v>
      </c>
      <c r="B61" s="103">
        <v>51</v>
      </c>
      <c r="C61" s="310"/>
      <c r="D61" s="423"/>
      <c r="E61" s="13">
        <f>'По терминалам 2'!E53</f>
      </c>
      <c r="F61" s="342"/>
      <c r="G61" s="13">
        <f>'По терминалам 2'!G53</f>
      </c>
      <c r="H61" s="13">
        <f>'По терминалам 2'!H53</f>
      </c>
      <c r="I61" s="13">
        <f>'По терминалам 2'!I53</f>
      </c>
      <c r="J61" s="13">
        <f>'По терминалам 2'!J53</f>
      </c>
      <c r="K61" s="14">
        <f>'По терминалам 2'!K53</f>
      </c>
      <c r="L61" s="14">
        <f>'По терминалам 2'!L53</f>
      </c>
      <c r="M61" s="357">
        <f>'По терминалам 2'!M53</f>
      </c>
      <c r="N61" s="357">
        <f>'По терминалам 2'!N53</f>
      </c>
      <c r="O61" s="357">
        <f>'По терминалам 2'!O53</f>
      </c>
      <c r="P61" s="357">
        <f>'По терминалам 2'!P53</f>
      </c>
      <c r="Q61" s="358">
        <f>'По терминалам 2'!Q53</f>
      </c>
      <c r="S61" s="1">
        <v>1</v>
      </c>
    </row>
    <row r="62">
      <c r="A62" s="195">
        <v>1</v>
      </c>
      <c r="B62" s="494">
        <v>52</v>
      </c>
      <c r="C62" s="310"/>
      <c r="D62" s="442"/>
      <c r="E62" s="443">
        <f>'По терминалам 2'!E54</f>
      </c>
      <c r="F62" s="443"/>
      <c r="G62" s="443">
        <f>'По терминалам 2'!G54</f>
      </c>
      <c r="H62" s="443">
        <f>'По терминалам 2'!H54</f>
      </c>
      <c r="I62" s="443">
        <f>'По терминалам 2'!I54</f>
      </c>
      <c r="J62" s="443">
        <f>'По терминалам 2'!J54</f>
      </c>
      <c r="K62" s="443">
        <f>'По терминалам 2'!K54</f>
      </c>
      <c r="L62" s="444">
        <f>'По терминалам 2'!L54</f>
      </c>
      <c r="M62" s="339">
        <f>'По терминалам 2'!M54</f>
      </c>
      <c r="N62" s="17">
        <f>'По терминалам 2'!N54</f>
      </c>
      <c r="O62" s="17">
        <f>'По терминалам 2'!O54</f>
      </c>
      <c r="P62" s="15">
        <f>'По терминалам 2'!P54</f>
      </c>
      <c r="Q62" s="15">
        <f>'По терминалам 2'!Q54</f>
      </c>
    </row>
    <row r="63">
      <c r="A63" s="195">
        <v>1</v>
      </c>
      <c r="B63" s="103">
        <v>53</v>
      </c>
      <c r="C63" s="310"/>
      <c r="D63" s="445"/>
      <c r="E63" s="446">
        <f>'По терминалам 2'!E55</f>
      </c>
      <c r="F63" s="446"/>
      <c r="G63" s="446">
        <f>'По терминалам 2'!G55</f>
      </c>
      <c r="H63" s="446">
        <f>'По терминалам 2'!H55</f>
      </c>
      <c r="I63" s="446">
        <f>'По терминалам 2'!I55</f>
      </c>
      <c r="J63" s="446">
        <f>'По терминалам 2'!J55</f>
      </c>
      <c r="K63" s="446">
        <f>'По терминалам 2'!K55</f>
      </c>
      <c r="L63" s="447">
        <f>'По терминалам 2'!L55</f>
      </c>
      <c r="M63" s="340">
        <f>'По терминалам 2'!M55</f>
      </c>
      <c r="N63" s="12">
        <f>'По терминалам 2'!N55</f>
      </c>
      <c r="O63" s="12">
        <f>'По терминалам 2'!O55</f>
      </c>
      <c r="P63" s="11">
        <f>'По терминалам 2'!P55</f>
      </c>
      <c r="Q63" s="11">
        <f>'По терминалам 2'!Q55</f>
      </c>
    </row>
    <row r="64">
      <c r="A64" s="195">
        <v>1</v>
      </c>
      <c r="B64" s="494">
        <v>54</v>
      </c>
      <c r="C64" s="310"/>
      <c r="D64" s="445"/>
      <c r="E64" s="446">
        <f>'По терминалам 2'!E56</f>
      </c>
      <c r="F64" s="446"/>
      <c r="G64" s="446">
        <f>'По терминалам 2'!G56</f>
      </c>
      <c r="H64" s="446">
        <f>'По терминалам 2'!H56</f>
      </c>
      <c r="I64" s="446">
        <f>'По терминалам 2'!I56</f>
      </c>
      <c r="J64" s="446">
        <f>'По терминалам 2'!J56</f>
      </c>
      <c r="K64" s="446">
        <f>'По терминалам 2'!K56</f>
      </c>
      <c r="L64" s="447">
        <f>'По терминалам 2'!L56</f>
      </c>
      <c r="M64" s="340">
        <f>'По терминалам 2'!M56</f>
      </c>
      <c r="N64" s="12">
        <f>'По терминалам 2'!N56</f>
      </c>
      <c r="O64" s="12">
        <f>'По терминалам 2'!O56</f>
      </c>
      <c r="P64" s="11">
        <f>'По терминалам 2'!P56</f>
      </c>
      <c r="Q64" s="11">
        <f>'По терминалам 2'!Q56</f>
      </c>
    </row>
    <row r="65" ht="15.75">
      <c r="A65" s="195">
        <v>1</v>
      </c>
      <c r="B65" s="103">
        <v>55</v>
      </c>
      <c r="C65" s="310"/>
      <c r="D65" s="448"/>
      <c r="E65" s="449">
        <f>'По терминалам 2'!E57</f>
      </c>
      <c r="F65" s="449"/>
      <c r="G65" s="449">
        <f>'По терминалам 2'!G57</f>
      </c>
      <c r="H65" s="449">
        <f>'По терминалам 2'!H57</f>
      </c>
      <c r="I65" s="449">
        <f>'По терминалам 2'!I57</f>
      </c>
      <c r="J65" s="449">
        <f>'По терминалам 2'!J57</f>
      </c>
      <c r="K65" s="449">
        <f>'По терминалам 2'!K57</f>
      </c>
      <c r="L65" s="450">
        <f>'По терминалам 2'!L57</f>
      </c>
      <c r="M65" s="357">
        <f>'По терминалам 2'!M57</f>
      </c>
      <c r="N65" s="357">
        <f>'По терминалам 2'!N57</f>
      </c>
      <c r="O65" s="357">
        <f>'По терминалам 2'!O57</f>
      </c>
      <c r="P65" s="357">
        <f>'По терминалам 2'!P57</f>
      </c>
      <c r="Q65" s="358">
        <f>'По терминалам 2'!Q57</f>
      </c>
    </row>
    <row r="66">
      <c r="A66" s="195">
        <v>1</v>
      </c>
      <c r="B66" s="494">
        <v>56</v>
      </c>
      <c r="C66" s="310"/>
      <c r="D66" s="451" t="s">
        <v>90</v>
      </c>
      <c r="E66" s="15">
        <f>'По терминалам 2'!E58</f>
      </c>
      <c r="F66" s="303" t="s">
        <v>24</v>
      </c>
      <c r="G66" s="17">
        <f>'По терминалам 2'!G58</f>
      </c>
      <c r="H66" s="15">
        <f>'По терминалам 2'!H58</f>
      </c>
      <c r="I66" s="15">
        <f>'По терминалам 2'!I58</f>
      </c>
      <c r="J66" s="328">
        <f>'По терминалам 2'!J58</f>
      </c>
      <c r="K66" s="329">
        <f>'По терминалам 2'!K58</f>
      </c>
      <c r="L66" s="330">
        <f>'По терминалам 2'!L58</f>
      </c>
      <c r="M66" s="339">
        <f>'По терминалам 2'!M58</f>
      </c>
      <c r="N66" s="17">
        <f>'По терминалам 2'!N58</f>
      </c>
      <c r="O66" s="17">
        <f>'По терминалам 2'!O58</f>
      </c>
      <c r="P66" s="15">
        <f>'По терминалам 2'!P58</f>
      </c>
      <c r="Q66" s="15">
        <f>'По терминалам 2'!Q58</f>
      </c>
      <c r="S66" s="1">
        <v>1</v>
      </c>
    </row>
    <row r="67">
      <c r="A67" s="258">
        <v>1</v>
      </c>
      <c r="B67" s="103">
        <v>57</v>
      </c>
      <c r="C67" s="310"/>
      <c r="D67" s="452"/>
      <c r="E67" s="11">
        <f>'По терминалам 2'!E59</f>
      </c>
      <c r="F67" s="317"/>
      <c r="G67" s="12">
        <f>'По терминалам 2'!G59</f>
      </c>
      <c r="H67" s="11">
        <f>'По терминалам 2'!H59</f>
      </c>
      <c r="I67" s="11">
        <f>'По терминалам 2'!I59</f>
      </c>
      <c r="J67" s="331">
        <f>'По терминалам 2'!J59</f>
      </c>
      <c r="K67" s="332">
        <f>'По терминалам 2'!K59</f>
      </c>
      <c r="L67" s="333">
        <f>'По терминалам 2'!L59</f>
      </c>
      <c r="M67" s="340">
        <f>'По терминалам 2'!M59</f>
      </c>
      <c r="N67" s="12">
        <f>'По терминалам 2'!N59</f>
      </c>
      <c r="O67" s="12">
        <f>'По терминалам 2'!O59</f>
      </c>
      <c r="P67" s="11">
        <f>'По терминалам 2'!P59</f>
      </c>
      <c r="Q67" s="11">
        <f>'По терминалам 2'!Q59</f>
      </c>
      <c r="S67" s="1">
        <v>1</v>
      </c>
    </row>
    <row r="68">
      <c r="A68" s="258">
        <v>1</v>
      </c>
      <c r="B68" s="494">
        <v>58</v>
      </c>
      <c r="C68" s="310"/>
      <c r="D68" s="452"/>
      <c r="E68" s="12">
        <f>'По терминалам 2'!E60</f>
      </c>
      <c r="F68" s="317"/>
      <c r="G68" s="12">
        <f>'По терминалам 2'!G60</f>
      </c>
      <c r="H68" s="11">
        <f>'По терминалам 2'!H60</f>
      </c>
      <c r="I68" s="11">
        <f>'По терминалам 2'!I60</f>
      </c>
      <c r="J68" s="331">
        <f>'По терминалам 2'!J60</f>
      </c>
      <c r="K68" s="332">
        <f>'По терминалам 2'!K60</f>
      </c>
      <c r="L68" s="333">
        <f>'По терминалам 2'!L60</f>
      </c>
      <c r="M68" s="340">
        <f>'По терминалам 2'!M60</f>
      </c>
      <c r="N68" s="12">
        <f>'По терминалам 2'!N60</f>
      </c>
      <c r="O68" s="12">
        <f>'По терминалам 2'!O60</f>
      </c>
      <c r="P68" s="11">
        <f>'По терминалам 2'!P60</f>
      </c>
      <c r="Q68" s="11">
        <f>'По терминалам 2'!Q60</f>
      </c>
      <c r="S68" s="1">
        <v>1</v>
      </c>
    </row>
    <row r="69" ht="15.75" s="251" customFormat="1">
      <c r="A69" s="258">
        <v>1</v>
      </c>
      <c r="B69" s="103">
        <v>59</v>
      </c>
      <c r="C69" s="310"/>
      <c r="D69" s="453"/>
      <c r="E69" s="251">
        <f>'По терминалам 2'!E61</f>
      </c>
      <c r="F69" s="359"/>
      <c r="G69" s="254">
        <f>'По терминалам 2'!G61</f>
      </c>
      <c r="H69" s="254">
        <f>'По терминалам 2'!H61</f>
      </c>
      <c r="I69" s="254">
        <f>'По терминалам 2'!I61</f>
      </c>
      <c r="J69" s="331">
        <f>'По терминалам 2'!J61</f>
      </c>
      <c r="K69" s="332">
        <f>'По терминалам 2'!K61</f>
      </c>
      <c r="L69" s="333">
        <f>'По терминалам 2'!L61</f>
      </c>
      <c r="M69" s="254">
        <f>'По терминалам 2'!M61</f>
      </c>
      <c r="N69" s="254">
        <f>'По терминалам 2'!N61</f>
      </c>
      <c r="O69" s="254">
        <f>'По терминалам 2'!O61</f>
      </c>
      <c r="P69" s="254">
        <f>'По терминалам 2'!P61</f>
      </c>
      <c r="Q69" s="257">
        <f>'По терминалам 2'!Q61</f>
      </c>
    </row>
    <row r="70" s="251" customFormat="1">
      <c r="A70" s="258">
        <v>1</v>
      </c>
      <c r="B70" s="103">
        <v>60</v>
      </c>
      <c r="C70" s="310"/>
      <c r="D70" s="442"/>
      <c r="E70" s="443">
        <f>'По терминалам 2'!E78</f>
      </c>
      <c r="F70" s="443"/>
      <c r="G70" s="443">
        <f>'По терминалам 2'!G78</f>
      </c>
      <c r="H70" s="443">
        <f>'По терминалам 2'!H78</f>
      </c>
      <c r="I70" s="443">
        <f>'По терминалам 2'!I78</f>
      </c>
      <c r="J70" s="443">
        <f>'По терминалам 2'!J78</f>
      </c>
      <c r="K70" s="443">
        <f>'По терминалам 2'!K78</f>
      </c>
      <c r="L70" s="444">
        <f>'По терминалам 2'!L78</f>
      </c>
      <c r="M70" s="339">
        <f>'По терминалам 2'!M78</f>
      </c>
      <c r="N70" s="252">
        <f>'По терминалам 2'!N78</f>
      </c>
      <c r="O70" s="252">
        <f>'По терминалам 2'!O78</f>
      </c>
      <c r="P70" s="252">
        <f>'По терминалам 2'!P78</f>
      </c>
      <c r="Q70" s="252">
        <f>'По терминалам 2'!Q78</f>
      </c>
    </row>
    <row r="71" s="251" customFormat="1">
      <c r="A71" s="258">
        <v>1</v>
      </c>
      <c r="B71" s="103">
        <v>61</v>
      </c>
      <c r="C71" s="310"/>
      <c r="D71" s="445"/>
      <c r="E71" s="446">
        <f>'По терминалам 2'!E79</f>
      </c>
      <c r="F71" s="446"/>
      <c r="G71" s="446">
        <f>'По терминалам 2'!G79</f>
      </c>
      <c r="H71" s="446">
        <f>'По терминалам 2'!H79</f>
      </c>
      <c r="I71" s="446">
        <f>'По терминалам 2'!I79</f>
      </c>
      <c r="J71" s="446">
        <f>'По терминалам 2'!J79</f>
      </c>
      <c r="K71" s="446">
        <f>'По терминалам 2'!K79</f>
      </c>
      <c r="L71" s="447">
        <f>'По терминалам 2'!L79</f>
      </c>
      <c r="M71" s="340">
        <f>'По терминалам 2'!M79</f>
      </c>
      <c r="N71" s="253">
        <f>'По терминалам 2'!N79</f>
      </c>
      <c r="O71" s="253">
        <f>'По терминалам 2'!O79</f>
      </c>
      <c r="P71" s="253">
        <f>'По терминалам 2'!P79</f>
      </c>
      <c r="Q71" s="253">
        <f>'По терминалам 2'!Q79</f>
      </c>
    </row>
    <row r="72" s="251" customFormat="1">
      <c r="A72" s="258">
        <v>1</v>
      </c>
      <c r="B72" s="103">
        <v>62</v>
      </c>
      <c r="C72" s="310"/>
      <c r="D72" s="445"/>
      <c r="E72" s="446">
        <f>'По терминалам 2'!E80</f>
      </c>
      <c r="F72" s="446"/>
      <c r="G72" s="446">
        <f>'По терминалам 2'!G80</f>
      </c>
      <c r="H72" s="446">
        <f>'По терминалам 2'!H80</f>
      </c>
      <c r="I72" s="446">
        <f>'По терминалам 2'!I80</f>
      </c>
      <c r="J72" s="446">
        <f>'По терминалам 2'!J80</f>
      </c>
      <c r="K72" s="446">
        <f>'По терминалам 2'!K80</f>
      </c>
      <c r="L72" s="447">
        <f>'По терминалам 2'!L80</f>
      </c>
      <c r="M72" s="340">
        <f>'По терминалам 2'!M80</f>
      </c>
      <c r="N72" s="253">
        <f>'По терминалам 2'!N80</f>
      </c>
      <c r="O72" s="253">
        <f>'По терминалам 2'!O80</f>
      </c>
      <c r="P72" s="253">
        <f>'По терминалам 2'!P80</f>
      </c>
      <c r="Q72" s="253">
        <f>'По терминалам 2'!Q80</f>
      </c>
    </row>
    <row r="73" ht="15.75">
      <c r="A73" s="258">
        <v>1</v>
      </c>
      <c r="B73" s="103">
        <v>63</v>
      </c>
      <c r="C73" s="454"/>
      <c r="D73" s="448"/>
      <c r="E73" s="449">
        <f>'По терминалам 2'!E81</f>
      </c>
      <c r="F73" s="449"/>
      <c r="G73" s="449">
        <f>'По терминалам 2'!G81</f>
      </c>
      <c r="H73" s="449">
        <f>'По терминалам 2'!H81</f>
      </c>
      <c r="I73" s="449">
        <f>'По терминалам 2'!I81</f>
      </c>
      <c r="J73" s="449">
        <f>'По терминалам 2'!J81</f>
      </c>
      <c r="K73" s="449">
        <f>'По терминалам 2'!K81</f>
      </c>
      <c r="L73" s="450">
        <f>'По терминалам 2'!L81</f>
      </c>
      <c r="M73" s="357">
        <f>'По терминалам 2'!M81</f>
      </c>
      <c r="N73" s="357">
        <f>'По терминалам 2'!N81</f>
      </c>
      <c r="O73" s="357">
        <f>'По терминалам 2'!O81</f>
      </c>
      <c r="P73" s="357">
        <f>'По терминалам 2'!P81</f>
      </c>
      <c r="Q73" s="358">
        <f>'По терминалам 2'!Q81</f>
      </c>
      <c r="S73" s="1">
        <v>1</v>
      </c>
    </row>
    <row r="74" s="195" customFormat="1">
      <c r="A74" s="258">
        <v>1</v>
      </c>
      <c r="B74" s="103">
        <v>64</v>
      </c>
      <c r="C74" s="310" t="s">
        <v>64</v>
      </c>
      <c r="D74" s="426" t="s">
        <v>103</v>
      </c>
      <c r="E74" s="198">
        <f>'По терминалам 2'!E30</f>
      </c>
      <c r="F74" s="360" t="s">
        <v>105</v>
      </c>
      <c r="G74" s="223">
        <f>'По терминалам 2'!G30</f>
      </c>
      <c r="H74" s="224">
        <f>'По терминалам 2'!H30</f>
      </c>
      <c r="I74" s="224">
        <f>'По терминалам 2'!I30</f>
      </c>
      <c r="J74" s="199">
        <f>'По терминалам 2'!J30</f>
      </c>
      <c r="K74" s="224">
        <f>'По терминалам 2'!K30</f>
      </c>
      <c r="L74" s="224">
        <f>'По терминалам 2'!L30</f>
      </c>
      <c r="M74" s="223">
        <f>'По терминалам 2'!M30</f>
      </c>
      <c r="N74" s="223">
        <f>'По терминалам 2'!N30</f>
      </c>
      <c r="O74" s="223">
        <f>'По терминалам 2'!O30</f>
      </c>
      <c r="P74" s="224">
        <f>'По терминалам 2'!P30</f>
      </c>
      <c r="Q74" s="225">
        <f>'По терминалам 2'!Q30</f>
      </c>
      <c r="S74" s="195">
        <v>1</v>
      </c>
    </row>
    <row r="75" s="195" customFormat="1">
      <c r="A75" s="258">
        <v>1</v>
      </c>
      <c r="B75" s="103">
        <v>65</v>
      </c>
      <c r="C75" s="310"/>
      <c r="D75" s="427"/>
      <c r="E75" s="192">
        <f>'По терминалам 2'!E31</f>
      </c>
      <c r="F75" s="326"/>
      <c r="G75" s="213">
        <f>'По терминалам 2'!G31</f>
      </c>
      <c r="H75" s="173">
        <f>'По терминалам 2'!H31</f>
      </c>
      <c r="I75" s="173">
        <f>'По терминалам 2'!I31</f>
      </c>
      <c r="J75" s="188">
        <f>'По терминалам 2'!J31</f>
      </c>
      <c r="K75" s="173">
        <f>'По терминалам 2'!K31</f>
      </c>
      <c r="L75" s="173">
        <f>'По терминалам 2'!L31</f>
      </c>
      <c r="M75" s="213">
        <f>'По терминалам 2'!M31</f>
      </c>
      <c r="N75" s="213">
        <f>'По терминалам 2'!N31</f>
      </c>
      <c r="O75" s="213">
        <f>'По терминалам 2'!O31</f>
      </c>
      <c r="P75" s="173">
        <f>'По терминалам 2'!P31</f>
      </c>
      <c r="Q75" s="23">
        <f>'По терминалам 2'!Q31</f>
      </c>
      <c r="S75" s="195">
        <v>1</v>
      </c>
    </row>
    <row r="76" s="195" customFormat="1">
      <c r="A76" s="258">
        <v>1</v>
      </c>
      <c r="B76" s="103">
        <v>66</v>
      </c>
      <c r="C76" s="310"/>
      <c r="D76" s="427"/>
      <c r="E76" s="192">
        <f>'По терминалам 2'!E32</f>
      </c>
      <c r="F76" s="326"/>
      <c r="G76" s="213">
        <f>'По терминалам 2'!G32</f>
      </c>
      <c r="H76" s="173">
        <f>'По терминалам 2'!H32</f>
      </c>
      <c r="I76" s="173">
        <f>'По терминалам 2'!I32</f>
      </c>
      <c r="J76" s="188">
        <f>'По терминалам 2'!J32</f>
      </c>
      <c r="K76" s="173">
        <f>'По терминалам 2'!K32</f>
      </c>
      <c r="L76" s="173">
        <f>'По терминалам 2'!L32</f>
      </c>
      <c r="M76" s="213">
        <f>'По терминалам 2'!M32</f>
      </c>
      <c r="N76" s="213">
        <f>'По терминалам 2'!N32</f>
      </c>
      <c r="O76" s="213">
        <f>'По терминалам 2'!O32</f>
      </c>
      <c r="P76" s="173">
        <f>'По терминалам 2'!P32</f>
      </c>
      <c r="Q76" s="23">
        <f>'По терминалам 2'!Q32</f>
      </c>
      <c r="S76" s="195">
        <v>1</v>
      </c>
    </row>
    <row r="77" s="195" customFormat="1">
      <c r="A77" s="258">
        <v>1</v>
      </c>
      <c r="B77" s="103">
        <v>67</v>
      </c>
      <c r="C77" s="310"/>
      <c r="D77" s="427"/>
      <c r="E77" s="192">
        <f>'По терминалам 2'!E33</f>
      </c>
      <c r="F77" s="326"/>
      <c r="G77" s="213">
        <f>'По терминалам 2'!G33</f>
      </c>
      <c r="H77" s="173">
        <f>'По терминалам 2'!H33</f>
      </c>
      <c r="I77" s="173">
        <f>'По терминалам 2'!I33</f>
      </c>
      <c r="J77" s="188">
        <f>'По терминалам 2'!J33</f>
      </c>
      <c r="K77" s="173">
        <f>'По терминалам 2'!K33</f>
      </c>
      <c r="L77" s="173">
        <f>'По терминалам 2'!L33</f>
      </c>
      <c r="M77" s="213">
        <f>'По терминалам 2'!M33</f>
      </c>
      <c r="N77" s="213">
        <f>'По терминалам 2'!N33</f>
      </c>
      <c r="O77" s="213">
        <f>'По терминалам 2'!O33</f>
      </c>
      <c r="P77" s="173">
        <f>'По терминалам 2'!P33</f>
      </c>
      <c r="Q77" s="23">
        <f>'По терминалам 2'!Q33</f>
      </c>
      <c r="S77" s="195">
        <v>1</v>
      </c>
    </row>
    <row r="78">
      <c r="A78" s="258">
        <v>1</v>
      </c>
      <c r="B78" s="103">
        <v>68</v>
      </c>
      <c r="C78" s="310"/>
      <c r="D78" s="426" t="s">
        <v>59</v>
      </c>
      <c r="E78" s="198">
        <f>'По терминалам 2'!E86</f>
      </c>
      <c r="F78" s="359" t="s">
        <v>24</v>
      </c>
      <c r="G78" s="198">
        <f>'По терминалам 2'!G86</f>
      </c>
      <c r="H78" s="198">
        <f>'По терминалам 2'!H86</f>
      </c>
      <c r="I78" s="198">
        <f>'По терминалам 2'!I86</f>
      </c>
      <c r="J78" s="198">
        <f>'По терминалам 2'!J86</f>
      </c>
      <c r="K78" s="198">
        <f>'По терминалам 2'!K86</f>
      </c>
      <c r="L78" s="198">
        <f>'По терминалам 2'!L86</f>
      </c>
      <c r="M78" s="359">
        <f>'По терминалам 2'!M86</f>
      </c>
      <c r="N78" s="198">
        <f>'По терминалам 2'!N86</f>
      </c>
      <c r="O78" s="198">
        <f>'По терминалам 2'!O86</f>
      </c>
      <c r="P78" s="198">
        <f>'По терминалам 2'!P86</f>
      </c>
      <c r="Q78" s="222">
        <f>'По терминалам 2'!Q86</f>
      </c>
      <c r="S78" s="195">
        <v>1</v>
      </c>
    </row>
    <row r="79">
      <c r="A79" s="258">
        <v>1</v>
      </c>
      <c r="B79" s="103">
        <v>69</v>
      </c>
      <c r="C79" s="310"/>
      <c r="D79" s="427"/>
      <c r="E79" s="192">
        <f>'По терминалам 2'!E87</f>
      </c>
      <c r="F79" s="340"/>
      <c r="G79" s="192">
        <f>'По терминалам 2'!G87</f>
      </c>
      <c r="H79" s="192">
        <f>'По терминалам 2'!H87</f>
      </c>
      <c r="I79" s="192">
        <f>'По терминалам 2'!I87</f>
      </c>
      <c r="J79" s="192">
        <f>'По терминалам 2'!J87</f>
      </c>
      <c r="K79" s="192">
        <f>'По терминалам 2'!K87</f>
      </c>
      <c r="L79" s="192">
        <f>'По терминалам 2'!L87</f>
      </c>
      <c r="M79" s="340">
        <f>'По терминалам 2'!M87</f>
      </c>
      <c r="N79" s="192">
        <f>'По терминалам 2'!N87</f>
      </c>
      <c r="O79" s="192">
        <f>'По терминалам 2'!O87</f>
      </c>
      <c r="P79" s="192">
        <f>'По терминалам 2'!P87</f>
      </c>
      <c r="Q79" s="194">
        <f>'По терминалам 2'!Q87</f>
      </c>
      <c r="S79" s="195">
        <v>1</v>
      </c>
    </row>
    <row r="80">
      <c r="A80" s="258">
        <v>1</v>
      </c>
      <c r="B80" s="103">
        <v>70</v>
      </c>
      <c r="C80" s="310"/>
      <c r="D80" s="427"/>
      <c r="E80" s="192">
        <f>'По терминалам 2'!E88</f>
      </c>
      <c r="F80" s="340"/>
      <c r="G80" s="192">
        <f>'По терминалам 2'!G88</f>
      </c>
      <c r="H80" s="192">
        <f>'По терминалам 2'!H88</f>
      </c>
      <c r="I80" s="192">
        <f>'По терминалам 2'!I88</f>
      </c>
      <c r="J80" s="192">
        <f>'По терминалам 2'!J88</f>
      </c>
      <c r="K80" s="192">
        <f>'По терминалам 2'!K88</f>
      </c>
      <c r="L80" s="192">
        <f>'По терминалам 2'!L88</f>
      </c>
      <c r="M80" s="340">
        <f>'По терминалам 2'!M88</f>
      </c>
      <c r="N80" s="192">
        <f>'По терминалам 2'!N88</f>
      </c>
      <c r="O80" s="192">
        <f>'По терминалам 2'!O88</f>
      </c>
      <c r="P80" s="192">
        <f>'По терминалам 2'!P88</f>
      </c>
      <c r="Q80" s="194">
        <f>'По терминалам 2'!Q88</f>
      </c>
      <c r="S80" s="195">
        <v>1</v>
      </c>
    </row>
    <row r="81" ht="15.75">
      <c r="A81" s="258">
        <v>1</v>
      </c>
      <c r="B81" s="103">
        <v>71</v>
      </c>
      <c r="C81" s="313"/>
      <c r="D81" s="428"/>
      <c r="E81" s="189">
        <f>'По терминалам 2'!E89</f>
      </c>
      <c r="F81" s="342"/>
      <c r="G81" s="189">
        <f>'По терминалам 2'!G89</f>
      </c>
      <c r="H81" s="189">
        <f>'По терминалам 2'!H89</f>
      </c>
      <c r="I81" s="189">
        <f>'По терминалам 2'!I89</f>
      </c>
      <c r="J81" s="189">
        <f>'По терминалам 2'!J89</f>
      </c>
      <c r="K81" s="189">
        <f>'По терминалам 2'!K89</f>
      </c>
      <c r="L81" s="189">
        <f>'По терминалам 2'!L89</f>
      </c>
      <c r="M81" s="357">
        <f>'По терминалам 2'!M89</f>
      </c>
      <c r="N81" s="357">
        <f>'По терминалам 2'!N89</f>
      </c>
      <c r="O81" s="357">
        <f>'По терминалам 2'!O89</f>
      </c>
      <c r="P81" s="357">
        <f>'По терминалам 2'!P89</f>
      </c>
      <c r="Q81" s="358">
        <f>'По терминалам 2'!Q89</f>
      </c>
      <c r="S81" s="195">
        <v>1</v>
      </c>
    </row>
    <row r="82" ht="15" customHeight="1" s="195" customFormat="1">
      <c r="A82" s="258">
        <v>1</v>
      </c>
      <c r="B82" s="103">
        <v>72</v>
      </c>
      <c r="C82" s="490" t="s">
        <v>107</v>
      </c>
      <c r="D82" s="461" t="s">
        <v>106</v>
      </c>
      <c r="E82" s="211">
        <f>'По терминалам 2'!E34</f>
      </c>
      <c r="F82" s="459" t="s">
        <v>105</v>
      </c>
      <c r="G82" s="212">
        <f>'По терминалам 2'!G34</f>
      </c>
      <c r="H82" s="211">
        <f>'По терминалам 2'!H34</f>
      </c>
      <c r="I82" s="211">
        <f>'По терминалам 2'!I34</f>
      </c>
      <c r="J82" s="212">
        <f>'По терминалам 2'!J34</f>
      </c>
      <c r="K82" s="218">
        <f>'По терминалам 2'!K34</f>
      </c>
      <c r="L82" s="218">
        <f>'По терминалам 2'!L34</f>
      </c>
      <c r="M82" s="219">
        <f>'По терминалам 2'!M34</f>
      </c>
      <c r="N82" s="219">
        <f>'По терминалам 2'!N34</f>
      </c>
      <c r="O82" s="219">
        <f>'По терминалам 2'!O34</f>
      </c>
      <c r="P82" s="218">
        <f>'По терминалам 2'!P34</f>
      </c>
      <c r="Q82" s="220">
        <f>'По терминалам 2'!Q34</f>
      </c>
      <c r="S82" s="195">
        <v>1</v>
      </c>
    </row>
    <row r="83" s="195" customFormat="1">
      <c r="A83" s="258">
        <v>1</v>
      </c>
      <c r="B83" s="103">
        <v>73</v>
      </c>
      <c r="C83" s="491"/>
      <c r="D83" s="457"/>
      <c r="E83" s="206">
        <f>'По терминалам 2'!E35</f>
      </c>
      <c r="F83" s="459"/>
      <c r="G83" s="217">
        <f>'По терминалам 2'!G35</f>
      </c>
      <c r="H83" s="206">
        <f>'По терминалам 2'!H35</f>
      </c>
      <c r="I83" s="206">
        <f>'По терминалам 2'!I35</f>
      </c>
      <c r="J83" s="217">
        <f>'По терминалам 2'!J35</f>
      </c>
      <c r="K83" s="216">
        <f>'По терминалам 2'!K35</f>
      </c>
      <c r="L83" s="216">
        <f>'По терминалам 2'!L35</f>
      </c>
      <c r="M83" s="215">
        <f>'По терминалам 2'!M35</f>
      </c>
      <c r="N83" s="215">
        <f>'По терминалам 2'!N35</f>
      </c>
      <c r="O83" s="215">
        <f>'По терминалам 2'!O35</f>
      </c>
      <c r="P83" s="216">
        <f>'По терминалам 2'!P35</f>
      </c>
      <c r="Q83" s="221">
        <f>'По терминалам 2'!Q35</f>
      </c>
      <c r="S83" s="195">
        <v>1</v>
      </c>
    </row>
    <row r="84" s="195" customFormat="1">
      <c r="A84" s="258">
        <v>1</v>
      </c>
      <c r="B84" s="103">
        <v>74</v>
      </c>
      <c r="C84" s="491"/>
      <c r="D84" s="457"/>
      <c r="E84" s="206">
        <f>'По терминалам 2'!E36</f>
      </c>
      <c r="F84" s="459"/>
      <c r="G84" s="217">
        <f>'По терминалам 2'!G36</f>
      </c>
      <c r="H84" s="206">
        <f>'По терминалам 2'!H36</f>
      </c>
      <c r="I84" s="206">
        <f>'По терминалам 2'!I36</f>
      </c>
      <c r="J84" s="217">
        <f>'По терминалам 2'!J36</f>
      </c>
      <c r="K84" s="216">
        <f>'По терминалам 2'!K36</f>
      </c>
      <c r="L84" s="216">
        <f>'По терминалам 2'!L36</f>
      </c>
      <c r="M84" s="215">
        <f>'По терминалам 2'!M36</f>
      </c>
      <c r="N84" s="215">
        <f>'По терминалам 2'!N36</f>
      </c>
      <c r="O84" s="215">
        <f>'По терминалам 2'!O36</f>
      </c>
      <c r="P84" s="216">
        <f>'По терминалам 2'!P36</f>
      </c>
      <c r="Q84" s="221">
        <f>'По терминалам 2'!Q36</f>
      </c>
      <c r="S84" s="195">
        <v>1</v>
      </c>
    </row>
    <row r="85" s="195" customFormat="1">
      <c r="A85" s="258">
        <v>1</v>
      </c>
      <c r="B85" s="103">
        <v>75</v>
      </c>
      <c r="C85" s="491"/>
      <c r="D85" s="457"/>
      <c r="E85" s="206">
        <f>'По терминалам 2'!E37</f>
      </c>
      <c r="F85" s="460"/>
      <c r="G85" s="217">
        <f>'По терминалам 2'!G37</f>
      </c>
      <c r="H85" s="206">
        <f>'По терминалам 2'!H37</f>
      </c>
      <c r="I85" s="206">
        <f>'По терминалам 2'!I37</f>
      </c>
      <c r="J85" s="217">
        <f>'По терминалам 2'!J37</f>
      </c>
      <c r="K85" s="216">
        <f>'По терминалам 2'!K37</f>
      </c>
      <c r="L85" s="216">
        <f>'По терминалам 2'!L37</f>
      </c>
      <c r="M85" s="215">
        <f>'По терминалам 2'!M37</f>
      </c>
      <c r="N85" s="215">
        <f>'По терминалам 2'!N37</f>
      </c>
      <c r="O85" s="215">
        <f>'По терминалам 2'!O37</f>
      </c>
      <c r="P85" s="216">
        <f>'По терминалам 2'!P37</f>
      </c>
      <c r="Q85" s="221">
        <f>'По терминалам 2'!Q37</f>
      </c>
      <c r="S85" s="195">
        <v>1</v>
      </c>
    </row>
    <row r="86">
      <c r="A86" s="258">
        <v>1</v>
      </c>
      <c r="B86" s="103">
        <v>76</v>
      </c>
      <c r="C86" s="491"/>
      <c r="D86" s="461" t="s">
        <v>59</v>
      </c>
      <c r="E86" s="211">
        <f>'По терминалам 2'!E62</f>
      </c>
      <c r="F86" s="424" t="s">
        <v>24</v>
      </c>
      <c r="G86" s="211">
        <f>'По терминалам 2'!G62</f>
      </c>
      <c r="H86" s="50">
        <f>'По терминалам 2'!H62</f>
      </c>
      <c r="I86" s="51">
        <f>'По терминалам 2'!I62</f>
      </c>
      <c r="J86" s="211">
        <f>'По терминалам 2'!J62</f>
      </c>
      <c r="K86" s="211">
        <f>'По терминалам 2'!K62</f>
      </c>
      <c r="L86" s="211">
        <f>'По терминалам 2'!L62</f>
      </c>
      <c r="M86" s="424">
        <f>'По терминалам 2'!M62</f>
      </c>
      <c r="N86" s="211">
        <f>'По терминалам 2'!N62</f>
      </c>
      <c r="O86" s="211">
        <f>'По терминалам 2'!O62</f>
      </c>
      <c r="P86" s="214">
        <f>'По терминалам 2'!P62</f>
      </c>
      <c r="Q86" s="58">
        <f>'По терминалам 2'!Q62</f>
      </c>
      <c r="S86" s="195">
        <v>1</v>
      </c>
    </row>
    <row r="87">
      <c r="A87" s="258">
        <v>1</v>
      </c>
      <c r="B87" s="103">
        <v>77</v>
      </c>
      <c r="C87" s="491"/>
      <c r="D87" s="457"/>
      <c r="E87" s="206">
        <f>'По терминалам 2'!E63</f>
      </c>
      <c r="F87" s="425"/>
      <c r="G87" s="206">
        <f>'По терминалам 2'!G63</f>
      </c>
      <c r="H87" s="50">
        <f>'По терминалам 2'!H63</f>
      </c>
      <c r="I87" s="51">
        <f>'По терминалам 2'!I63</f>
      </c>
      <c r="J87" s="206">
        <f>'По терминалам 2'!J63</f>
      </c>
      <c r="K87" s="206">
        <f>'По терминалам 2'!K63</f>
      </c>
      <c r="L87" s="206">
        <f>'По терминалам 2'!L63</f>
      </c>
      <c r="M87" s="425">
        <f>'По терминалам 2'!M63</f>
      </c>
      <c r="N87" s="206">
        <f>'По терминалам 2'!N63</f>
      </c>
      <c r="O87" s="206">
        <f>'По терминалам 2'!O63</f>
      </c>
      <c r="P87" s="52">
        <f>'По терминалам 2'!P63</f>
      </c>
      <c r="Q87" s="53">
        <f>'По терминалам 2'!Q63</f>
      </c>
      <c r="S87" s="195">
        <v>1</v>
      </c>
    </row>
    <row r="88">
      <c r="A88" s="258">
        <v>1</v>
      </c>
      <c r="B88" s="103">
        <v>78</v>
      </c>
      <c r="C88" s="491"/>
      <c r="D88" s="457"/>
      <c r="E88" s="206">
        <f>'По терминалам 2'!E64</f>
      </c>
      <c r="F88" s="425"/>
      <c r="G88" s="206">
        <f>'По терминалам 2'!G64</f>
      </c>
      <c r="H88" s="50">
        <f>'По терминалам 2'!H64</f>
      </c>
      <c r="I88" s="51">
        <f>'По терминалам 2'!I64</f>
      </c>
      <c r="J88" s="206">
        <f>'По терминалам 2'!J64</f>
      </c>
      <c r="K88" s="206">
        <f>'По терминалам 2'!K64</f>
      </c>
      <c r="L88" s="206">
        <f>'По терминалам 2'!L64</f>
      </c>
      <c r="M88" s="425">
        <f>'По терминалам 2'!M64</f>
      </c>
      <c r="N88" s="206">
        <f>'По терминалам 2'!N64</f>
      </c>
      <c r="O88" s="206">
        <f>'По терминалам 2'!O64</f>
      </c>
      <c r="P88" s="52">
        <f>'По терминалам 2'!P64</f>
      </c>
      <c r="Q88" s="53">
        <f>'По терминалам 2'!Q64</f>
      </c>
      <c r="S88" s="195">
        <v>1</v>
      </c>
    </row>
    <row r="89" ht="15.75">
      <c r="A89" s="258">
        <v>1</v>
      </c>
      <c r="B89" s="260">
        <v>79</v>
      </c>
      <c r="C89" s="492"/>
      <c r="D89" s="463"/>
      <c r="E89" s="207">
        <f>'По терминалам 2'!E65</f>
      </c>
      <c r="F89" s="432"/>
      <c r="G89" s="207">
        <f>'По терминалам 2'!G65</f>
      </c>
      <c r="H89" s="54">
        <f>'По терминалам 2'!H65</f>
      </c>
      <c r="I89" s="55">
        <f>'По терминалам 2'!I65</f>
      </c>
      <c r="J89" s="207">
        <f>'По терминалам 2'!J65</f>
      </c>
      <c r="K89" s="207">
        <f>'По терминалам 2'!K65</f>
      </c>
      <c r="L89" s="207">
        <f>'По терминалам 2'!L65</f>
      </c>
      <c r="M89" s="429">
        <f>'По терминалам 2'!M65</f>
      </c>
      <c r="N89" s="429">
        <f>'По терминалам 2'!N65</f>
      </c>
      <c r="O89" s="429">
        <f>'По терминалам 2'!O65</f>
      </c>
      <c r="P89" s="429">
        <f>'По терминалам 2'!P65</f>
      </c>
      <c r="Q89" s="430">
        <f>'По терминалам 2'!Q65</f>
      </c>
      <c r="S89" s="195">
        <v>1</v>
      </c>
    </row>
  </sheetData>
  <mergeCells>
    <mergeCell ref="C82:C89"/>
    <mergeCell ref="D82:D85"/>
    <mergeCell ref="F82:F85"/>
    <mergeCell ref="B9:B10"/>
    <mergeCell ref="D78:D81"/>
    <mergeCell ref="F78:F81"/>
    <mergeCell ref="D86:D89"/>
    <mergeCell ref="F86:F89"/>
    <mergeCell ref="D41:D44"/>
    <mergeCell ref="F41:F44"/>
    <mergeCell ref="D46:D49"/>
    <mergeCell ref="C9:C10"/>
    <mergeCell ref="D9:D10"/>
    <mergeCell ref="E9:E10"/>
    <mergeCell ref="F9:L9"/>
    <mergeCell ref="C74:C81"/>
    <mergeCell ref="D74:D77"/>
    <mergeCell ref="F74:F77"/>
    <mergeCell ref="F58:F61"/>
    <mergeCell ref="M58:M60"/>
    <mergeCell ref="M61:Q61"/>
    <mergeCell ref="C50:C73"/>
    <mergeCell ref="C24:C36"/>
    <mergeCell ref="D24:D27"/>
    <mergeCell ref="F24:F27"/>
    <mergeCell ref="C37:C49"/>
    <mergeCell ref="D37:D40"/>
    <mergeCell ref="F37:F40"/>
    <mergeCell ref="D33:D36"/>
    <mergeCell ref="M73:Q73"/>
    <mergeCell ref="D50:D53"/>
    <mergeCell ref="F50:F53"/>
    <mergeCell ref="D54:D57"/>
    <mergeCell ref="G50:I53"/>
    <mergeCell ref="M50:Q53"/>
    <mergeCell ref="D58:D61"/>
    <mergeCell ref="M86:M88"/>
    <mergeCell ref="M89:Q89"/>
    <mergeCell ref="F54:F57"/>
    <mergeCell ref="M54:M56"/>
    <mergeCell ref="M57:Q57"/>
    <mergeCell ref="M62:M64"/>
    <mergeCell ref="M65:Q65"/>
    <mergeCell ref="D62:L65"/>
    <mergeCell ref="M78:M80"/>
    <mergeCell ref="M81:Q81"/>
    <mergeCell ref="D66:D69"/>
    <mergeCell ref="F66:F69"/>
    <mergeCell ref="J66:L69"/>
    <mergeCell ref="D70:L73"/>
    <mergeCell ref="M70:M72"/>
    <mergeCell ref="M66:M68"/>
    <mergeCell ref="M44:Q44"/>
    <mergeCell ref="F46:F49"/>
    <mergeCell ref="J46:L49"/>
    <mergeCell ref="M46:M48"/>
    <mergeCell ref="M49:Q49"/>
    <mergeCell ref="D28:D31"/>
    <mergeCell ref="F28:F31"/>
    <mergeCell ref="M36:Q36"/>
    <mergeCell ref="M28:M30"/>
    <mergeCell ref="M31:Q31"/>
    <mergeCell ref="M41:M43"/>
    <mergeCell ref="J20:L23"/>
    <mergeCell ref="J33:L36"/>
    <mergeCell ref="M33:M35"/>
    <mergeCell ref="F33:F36"/>
    <mergeCell ref="C1:Q1"/>
    <mergeCell ref="M9:Q9"/>
    <mergeCell ref="D11:D14"/>
    <mergeCell ref="F11:F14"/>
    <mergeCell ref="M11:Q14"/>
    <mergeCell ref="C11:C23"/>
    <mergeCell ref="F20:F23"/>
    <mergeCell ref="M20:M22"/>
    <mergeCell ref="M23:Q23"/>
    <mergeCell ref="D15:D18"/>
    <mergeCell ref="G11:I14"/>
    <mergeCell ref="F15:F18"/>
    <mergeCell ref="M15:M17"/>
    <mergeCell ref="M18:Q18"/>
    <mergeCell ref="D20:D23"/>
  </mergeCells>
  <pageMargins left="1.1811023622047245" right="0.59055118110236227" top="0.59055118110236227" bottom="0.59055118110236227" header="0.31496062992125984" footer="0.31496062992125984"/>
  <pageSetup paperSize="9" scale="90" fitToWidth="5" fitToHeight="5" orientation="landscape" horizontalDpi="4294967295" verticalDpi="4294967295"/>
  <headerFooter>
    <oddHeader>&amp;C&amp;P+R1</oddHeader>
    <oddFooter>&amp;C&amp;P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2DE8B-68D2-463B-BC91-402E8AF34D1A}">
  <dimension ref="A1:AB89"/>
  <sheetViews>
    <sheetView tabSelected="1" topLeftCell="A7" zoomScale="85" zoomScaleNormal="85" workbookViewId="0">
      <selection activeCell="I30" sqref="I30"/>
    </sheetView>
  </sheetViews>
  <sheetFormatPr defaultRowHeight="15" x14ac:dyDescent="0.25"/>
  <cols>
    <col min="1" max="1" width="2.42578125" customWidth="1"/>
    <col min="2" max="2" width="4.28515625" customWidth="1"/>
    <col min="4" max="4" width="15.7109375" customWidth="1"/>
    <col min="6" max="6" width="12.28515625" customWidth="1"/>
    <col min="13" max="13" width="7.140625" customWidth="1"/>
  </cols>
  <sheetData>
    <row r="1" ht="15.75">
      <c r="B1" s="195"/>
      <c r="C1" s="195"/>
      <c r="D1" s="208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</row>
    <row r="2" ht="15.75">
      <c r="B2" s="195"/>
      <c r="C2" s="321" t="s">
        <v>0</v>
      </c>
      <c r="D2" s="338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402" t="s">
        <v>1</v>
      </c>
      <c r="Z2" s="403"/>
      <c r="AA2" s="404"/>
      <c r="AB2" s="193">
        <v>253</v>
      </c>
    </row>
    <row r="3" ht="15.75">
      <c r="B3" s="195"/>
      <c r="C3" s="71" t="s">
        <v>2</v>
      </c>
      <c r="D3" s="23" t="s">
        <v>3</v>
      </c>
      <c r="E3" s="195"/>
      <c r="F3" s="361" t="s">
        <v>4</v>
      </c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3"/>
      <c r="R3" s="105"/>
      <c r="S3" s="195"/>
      <c r="T3" s="195"/>
      <c r="U3" s="195"/>
      <c r="V3" s="195"/>
      <c r="W3" s="195"/>
      <c r="X3" s="195"/>
      <c r="Y3" s="165" t="s">
        <v>5</v>
      </c>
      <c r="Z3" s="166"/>
      <c r="AA3" s="180"/>
      <c r="AB3" s="190" t="e">
        <f>360-S15+90</f>
        <v>#VALUE!</v>
      </c>
    </row>
    <row r="4" ht="15.75">
      <c r="B4" s="195"/>
      <c r="C4" s="203" t="s">
        <v>6</v>
      </c>
      <c r="D4" s="194">
        <f>IF(RIGHT(C4,1)="L",360-MID(C4,1,FIND("L",C4,1)-1),MID(C4,1,FIND("C",C4,1)-1))+$D$2</f>
        <v>197</v>
      </c>
      <c r="E4" s="195"/>
      <c r="F4" s="364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6"/>
      <c r="R4" s="195"/>
      <c r="S4" s="195"/>
      <c r="T4" s="195"/>
      <c r="U4" s="195"/>
      <c r="V4" s="195"/>
      <c r="W4" s="195"/>
      <c r="X4" s="195"/>
      <c r="Y4" s="195"/>
    </row>
    <row r="5">
      <c r="B5" s="195"/>
      <c r="C5" s="203" t="s">
        <v>7</v>
      </c>
      <c r="D5" s="194">
        <f>IF(RIGHT(C5,1)="L",360-MID(C5,1,FIND("L",C5,1)-1),MID(C5,1,FIND("C",C5,1)-1))+$D$2</f>
        <v>79</v>
      </c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195"/>
      <c r="S5" s="195"/>
      <c r="T5" s="195"/>
      <c r="U5" s="195"/>
      <c r="V5" s="195"/>
      <c r="W5" s="195"/>
      <c r="X5" s="195"/>
      <c r="Y5" s="195"/>
    </row>
    <row r="6" ht="15.75">
      <c r="B6" s="195"/>
      <c r="C6" s="204" t="s">
        <v>8</v>
      </c>
      <c r="D6" s="190">
        <f>IF(RIGHT(C6,1)="L",360-MID(C6,1,FIND("L",C6,1)-1),MID(C6,1,FIND("C",C6,1)-1))+$D$2</f>
        <v>315</v>
      </c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</row>
    <row r="7">
      <c r="B7" s="195"/>
      <c r="C7" s="195"/>
      <c r="D7" s="208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</row>
    <row r="8" ht="15.75">
      <c r="B8" s="195"/>
      <c r="C8" s="195"/>
      <c r="D8" s="208"/>
      <c r="E8" s="195"/>
      <c r="F8" s="195"/>
      <c r="G8" s="195">
        <v>5</v>
      </c>
      <c r="H8" s="195"/>
      <c r="I8" s="195"/>
      <c r="J8" s="195"/>
      <c r="K8" s="195"/>
      <c r="L8" s="195"/>
      <c r="M8" s="195"/>
      <c r="N8" s="195"/>
      <c r="O8" s="195"/>
      <c r="P8" s="195"/>
      <c r="Q8" s="195">
        <v>15</v>
      </c>
      <c r="R8" s="195"/>
      <c r="S8" s="195"/>
      <c r="T8" s="195"/>
      <c r="U8" s="195"/>
      <c r="V8" s="195"/>
      <c r="W8" s="195"/>
      <c r="X8" s="195"/>
      <c r="Y8" s="195"/>
    </row>
    <row r="9" ht="15.75">
      <c r="B9" s="321" t="s">
        <v>9</v>
      </c>
      <c r="C9" s="400" t="s">
        <v>10</v>
      </c>
      <c r="D9" s="368" t="s">
        <v>11</v>
      </c>
      <c r="E9" s="368" t="s">
        <v>12</v>
      </c>
      <c r="F9" s="368" t="s">
        <v>13</v>
      </c>
      <c r="G9" s="368"/>
      <c r="H9" s="368"/>
      <c r="I9" s="368"/>
      <c r="J9" s="368"/>
      <c r="K9" s="368"/>
      <c r="L9" s="368"/>
      <c r="M9" s="368" t="s">
        <v>14</v>
      </c>
      <c r="N9" s="368"/>
      <c r="O9" s="368"/>
      <c r="P9" s="368"/>
      <c r="Q9" s="370"/>
      <c r="R9" s="7"/>
      <c r="S9" s="7"/>
      <c r="T9" s="7"/>
      <c r="U9" s="7"/>
      <c r="V9" s="7"/>
      <c r="W9" s="7"/>
      <c r="X9" s="7"/>
      <c r="Y9" s="7"/>
    </row>
    <row r="10" ht="29.25">
      <c r="B10" s="322"/>
      <c r="C10" s="479"/>
      <c r="D10" s="480"/>
      <c r="E10" s="480"/>
      <c r="F10" s="235" t="s">
        <v>15</v>
      </c>
      <c r="G10" s="235" t="s">
        <v>16</v>
      </c>
      <c r="H10" s="236" t="s">
        <v>17</v>
      </c>
      <c r="I10" s="236" t="s">
        <v>18</v>
      </c>
      <c r="J10" s="235" t="s">
        <v>19</v>
      </c>
      <c r="K10" s="236" t="s">
        <v>17</v>
      </c>
      <c r="L10" s="236" t="s">
        <v>18</v>
      </c>
      <c r="M10" s="235" t="s">
        <v>20</v>
      </c>
      <c r="N10" s="235" t="s">
        <v>21</v>
      </c>
      <c r="O10" s="235" t="s">
        <v>22</v>
      </c>
      <c r="P10" s="236" t="s">
        <v>17</v>
      </c>
      <c r="Q10" s="237" t="s">
        <v>18</v>
      </c>
      <c r="R10" s="7"/>
      <c r="S10" s="202" t="s">
        <v>18</v>
      </c>
      <c r="T10" s="191" t="s">
        <v>23</v>
      </c>
      <c r="U10" s="405" t="s">
        <v>24</v>
      </c>
      <c r="V10" s="404"/>
      <c r="W10" s="405" t="s">
        <v>25</v>
      </c>
      <c r="X10" s="406"/>
      <c r="Y10" s="7"/>
    </row>
    <row r="11" ht="15" customHeight="1">
      <c r="A11" s="0">
        <v>1</v>
      </c>
      <c r="B11" s="169">
        <v>5</v>
      </c>
      <c r="C11" s="349" t="s">
        <v>26</v>
      </c>
      <c r="D11" s="287" t="s">
        <v>27</v>
      </c>
      <c r="E11" s="183" t="s">
        <v>28</v>
      </c>
      <c r="F11" s="349" t="s">
        <v>24</v>
      </c>
      <c r="G11" s="183">
        <v>120</v>
      </c>
      <c r="H11" s="183"/>
      <c r="I11" s="183"/>
      <c r="J11" s="96" t="s">
        <v>29</v>
      </c>
      <c r="K11" s="183"/>
      <c r="L11" s="183"/>
      <c r="M11" s="349" t="s">
        <v>30</v>
      </c>
      <c r="N11" s="183">
        <v>2</v>
      </c>
      <c r="O11" s="183">
        <v>4</v>
      </c>
      <c r="P11" s="183"/>
      <c r="Q11" s="183"/>
      <c r="R11" s="7"/>
      <c r="S11" s="203" t="e">
        <f>IF(RIGHT(Q11,1)="L",360-MID(Q11,1,FIND("L",Q11,1)-1),MID(Q11,1,FIND("C",Q11,1)-1))</f>
        <v>#VALUE!</v>
      </c>
      <c r="T11" s="192" t="e">
        <f>IF((S11+$AB$2)&gt;359,(S11+$AB$2)-360,S11+$AB$2)</f>
        <v>#VALUE!</v>
      </c>
      <c r="U11" s="138">
        <v>0</v>
      </c>
      <c r="V11" s="138" t="e">
        <f>P11*COS(RADIANS(T11))</f>
        <v>#VALUE!</v>
      </c>
      <c r="W11" s="144">
        <v>0</v>
      </c>
      <c r="X11" s="139" t="e">
        <f>P11*SIN(RADIANS(T11))</f>
        <v>#VALUE!</v>
      </c>
      <c r="Y11" s="7"/>
    </row>
    <row r="12">
      <c r="A12" s="0">
        <v>1</v>
      </c>
      <c r="B12" s="169">
        <v>6</v>
      </c>
      <c r="C12" s="349"/>
      <c r="D12" s="287"/>
      <c r="E12" s="183" t="s">
        <v>31</v>
      </c>
      <c r="F12" s="349"/>
      <c r="G12" s="183">
        <v>121</v>
      </c>
      <c r="H12" s="183"/>
      <c r="I12" s="183"/>
      <c r="J12" s="96" t="s">
        <v>32</v>
      </c>
      <c r="K12" s="183"/>
      <c r="L12" s="183"/>
      <c r="M12" s="349"/>
      <c r="N12" s="183">
        <v>6</v>
      </c>
      <c r="O12" s="183">
        <v>8</v>
      </c>
      <c r="P12" s="183"/>
      <c r="Q12" s="183"/>
      <c r="R12" s="7"/>
      <c r="S12" s="203" t="e">
        <f>IF(RIGHT(Q12,1)="L",360-MID(Q12,1,FIND("L",Q12,1)-1),MID(Q12,1,FIND("C",Q12,1)-1))</f>
        <v>#VALUE!</v>
      </c>
      <c r="T12" s="192" t="e">
        <f>IF((S12+$AB$2)&gt;359,(S12+$AB$2)-360,S12+$AB$2)</f>
        <v>#VALUE!</v>
      </c>
      <c r="U12" s="140">
        <v>0</v>
      </c>
      <c r="V12" s="140" t="e">
        <f>P12*COS(RADIANS(T12))</f>
        <v>#VALUE!</v>
      </c>
      <c r="W12" s="145">
        <v>0</v>
      </c>
      <c r="X12" s="141" t="e">
        <f>P12*SIN(RADIANS(T12))</f>
        <v>#VALUE!</v>
      </c>
      <c r="Y12" s="7"/>
    </row>
    <row r="13" ht="15.75">
      <c r="A13" s="0">
        <v>1</v>
      </c>
      <c r="B13" s="169">
        <v>7</v>
      </c>
      <c r="C13" s="349"/>
      <c r="D13" s="287"/>
      <c r="E13" s="183" t="s">
        <v>33</v>
      </c>
      <c r="F13" s="349"/>
      <c r="G13" s="183">
        <v>122</v>
      </c>
      <c r="H13" s="183"/>
      <c r="I13" s="183"/>
      <c r="J13" s="96" t="s">
        <v>34</v>
      </c>
      <c r="K13" s="183"/>
      <c r="L13" s="183"/>
      <c r="M13" s="349"/>
      <c r="N13" s="183">
        <v>10</v>
      </c>
      <c r="O13" s="183">
        <v>12</v>
      </c>
      <c r="P13" s="183"/>
      <c r="Q13" s="183"/>
      <c r="R13" s="7"/>
      <c r="S13" s="204" t="e">
        <f>IF(RIGHT(Q13,1)="L",360-MID(Q13,1,FIND("L",Q13,1)-1),MID(Q13,1,FIND("C",Q13,1)-1))</f>
        <v>#VALUE!</v>
      </c>
      <c r="T13" s="189" t="e">
        <f>IF((S13+$AB$2)&gt;359,(S13+$AB$2)-360,S13+$AB$2)</f>
        <v>#VALUE!</v>
      </c>
      <c r="U13" s="142">
        <v>0</v>
      </c>
      <c r="V13" s="142" t="e">
        <f>P13*COS(RADIANS(T13))</f>
        <v>#VALUE!</v>
      </c>
      <c r="W13" s="146">
        <v>0</v>
      </c>
      <c r="X13" s="143" t="e">
        <f>P13*SIN(RADIANS(T13))</f>
        <v>#VALUE!</v>
      </c>
      <c r="Y13" s="7"/>
    </row>
    <row r="14">
      <c r="A14" s="0">
        <v>1</v>
      </c>
      <c r="B14" s="169">
        <v>8</v>
      </c>
      <c r="C14" s="349"/>
      <c r="D14" s="287"/>
      <c r="E14" s="183" t="s">
        <v>35</v>
      </c>
      <c r="F14" s="349"/>
      <c r="G14" s="183">
        <v>123</v>
      </c>
      <c r="H14" s="183"/>
      <c r="I14" s="183"/>
      <c r="J14" s="96" t="s">
        <v>36</v>
      </c>
      <c r="K14" s="183"/>
      <c r="L14" s="183"/>
      <c r="M14" s="481" t="s">
        <v>37</v>
      </c>
      <c r="N14" s="481"/>
      <c r="O14" s="481"/>
      <c r="P14" s="481"/>
      <c r="Q14" s="481"/>
      <c r="R14" s="7"/>
      <c r="S14" s="202" t="s">
        <v>18</v>
      </c>
      <c r="T14" s="191" t="s">
        <v>23</v>
      </c>
      <c r="U14" s="405" t="s">
        <v>24</v>
      </c>
      <c r="V14" s="404"/>
      <c r="W14" s="405" t="s">
        <v>25</v>
      </c>
      <c r="X14" s="406"/>
      <c r="Y14" s="7"/>
    </row>
    <row r="15" ht="36" customHeight="1">
      <c r="A15" s="0">
        <v>1</v>
      </c>
      <c r="B15" s="169">
        <v>9</v>
      </c>
      <c r="C15" s="183" t="s">
        <v>26</v>
      </c>
      <c r="D15" s="177" t="s">
        <v>27</v>
      </c>
      <c r="E15" s="183" t="s">
        <v>38</v>
      </c>
      <c r="F15" s="183" t="s">
        <v>24</v>
      </c>
      <c r="G15" s="183">
        <v>1</v>
      </c>
      <c r="H15" s="183"/>
      <c r="I15" s="183"/>
      <c r="J15" s="96" t="s">
        <v>39</v>
      </c>
      <c r="K15" s="183"/>
      <c r="L15" s="183"/>
      <c r="M15" s="96" t="s">
        <v>40</v>
      </c>
      <c r="N15" s="96" t="s">
        <v>39</v>
      </c>
      <c r="O15" s="96" t="s">
        <v>41</v>
      </c>
      <c r="P15" s="183"/>
      <c r="Q15" s="183"/>
      <c r="R15" s="195"/>
      <c r="S15" s="203" t="e">
        <f>IF(RIGHT(Q15,1)="L",360-MID(Q15,1,FIND("L",Q15,1)-1),MID(Q15,1,FIND("C",Q15,1)-1))</f>
        <v>#VALUE!</v>
      </c>
      <c r="T15" s="192" t="e">
        <f>IF((S15+$AB$2)&gt;359,(S15+$AB$2)-360,S15+$AB$2)</f>
        <v>#VALUE!</v>
      </c>
      <c r="U15" s="138">
        <v>0</v>
      </c>
      <c r="V15" s="138" t="e">
        <f>P15*COS(RADIANS(T15))</f>
        <v>#VALUE!</v>
      </c>
      <c r="W15" s="144">
        <v>0</v>
      </c>
      <c r="X15" s="139" t="e">
        <f>P15*SIN(RADIANS(T15))</f>
        <v>#VALUE!</v>
      </c>
      <c r="Y15" s="195"/>
    </row>
    <row r="16" ht="15" customHeight="1">
      <c r="A16" s="0">
        <v>1</v>
      </c>
      <c r="B16" s="169">
        <v>18</v>
      </c>
      <c r="C16" s="349" t="s">
        <v>42</v>
      </c>
      <c r="D16" s="287" t="s">
        <v>27</v>
      </c>
      <c r="E16" s="183" t="s">
        <v>43</v>
      </c>
      <c r="F16" s="349" t="s">
        <v>24</v>
      </c>
      <c r="G16" s="183">
        <v>128</v>
      </c>
      <c r="H16" s="183"/>
      <c r="I16" s="183"/>
      <c r="J16" s="183">
        <v>132</v>
      </c>
      <c r="K16" s="183"/>
      <c r="L16" s="183"/>
      <c r="M16" s="349" t="s">
        <v>44</v>
      </c>
      <c r="N16" s="183">
        <v>2</v>
      </c>
      <c r="O16" s="183">
        <v>4</v>
      </c>
      <c r="P16" s="183"/>
      <c r="Q16" s="183"/>
      <c r="R16" s="195"/>
      <c r="S16" s="203" t="e">
        <f>IF(RIGHT(Q16,1)="L",360-MID(Q16,1,FIND("L",Q16,1)-1),MID(Q16,1,FIND("C",Q16,1)-1))</f>
        <v>#VALUE!</v>
      </c>
      <c r="T16" s="192" t="e">
        <f>IF((S16+$AB$2)&gt;359,(S16+$AB$2)-360,S16+$AB$2)</f>
        <v>#VALUE!</v>
      </c>
      <c r="U16" s="140">
        <v>0</v>
      </c>
      <c r="V16" s="140" t="e">
        <f>P16*COS(RADIANS(T16))</f>
        <v>#VALUE!</v>
      </c>
      <c r="W16" s="145">
        <v>0</v>
      </c>
      <c r="X16" s="141" t="e">
        <f>P16*SIN(RADIANS(T16))</f>
        <v>#VALUE!</v>
      </c>
      <c r="Y16" s="195"/>
    </row>
    <row r="17" ht="15.75">
      <c r="A17" s="0">
        <v>1</v>
      </c>
      <c r="B17" s="169">
        <v>19</v>
      </c>
      <c r="C17" s="349"/>
      <c r="D17" s="287"/>
      <c r="E17" s="183" t="s">
        <v>45</v>
      </c>
      <c r="F17" s="349"/>
      <c r="G17" s="183">
        <v>129</v>
      </c>
      <c r="H17" s="183"/>
      <c r="I17" s="183"/>
      <c r="J17" s="183">
        <v>133</v>
      </c>
      <c r="K17" s="183"/>
      <c r="L17" s="183"/>
      <c r="M17" s="349"/>
      <c r="N17" s="183">
        <v>6</v>
      </c>
      <c r="O17" s="183">
        <v>8</v>
      </c>
      <c r="P17" s="183"/>
      <c r="Q17" s="183"/>
      <c r="R17" s="195"/>
      <c r="S17" s="204" t="e">
        <f>IF(RIGHT(Q17,1)="L",360-MID(Q17,1,FIND("L",Q17,1)-1),MID(Q17,1,FIND("C",Q17,1)-1))</f>
        <v>#VALUE!</v>
      </c>
      <c r="T17" s="189" t="e">
        <f>IF((S17+$AB$2)&gt;359,(S17+$AB$2)-360,S17+$AB$2)</f>
        <v>#VALUE!</v>
      </c>
      <c r="U17" s="142">
        <v>0</v>
      </c>
      <c r="V17" s="142" t="e">
        <f>P17*COS(RADIANS(T17))</f>
        <v>#VALUE!</v>
      </c>
      <c r="W17" s="146">
        <v>0</v>
      </c>
      <c r="X17" s="143" t="e">
        <f>P17*SIN(RADIANS(T17))</f>
        <v>#VALUE!</v>
      </c>
      <c r="Y17" s="195"/>
    </row>
    <row r="18">
      <c r="A18" s="0">
        <v>1</v>
      </c>
      <c r="B18" s="169">
        <v>20</v>
      </c>
      <c r="C18" s="349"/>
      <c r="D18" s="287"/>
      <c r="E18" s="183" t="s">
        <v>46</v>
      </c>
      <c r="F18" s="349"/>
      <c r="G18" s="183">
        <v>130</v>
      </c>
      <c r="H18" s="183"/>
      <c r="I18" s="183"/>
      <c r="J18" s="183">
        <v>134</v>
      </c>
      <c r="K18" s="183"/>
      <c r="L18" s="183"/>
      <c r="M18" s="349"/>
      <c r="N18" s="183">
        <v>10</v>
      </c>
      <c r="O18" s="183">
        <v>12</v>
      </c>
      <c r="P18" s="183"/>
      <c r="Q18" s="183"/>
      <c r="R18" s="195"/>
      <c r="S18" s="202" t="s">
        <v>18</v>
      </c>
      <c r="T18" s="191" t="s">
        <v>23</v>
      </c>
      <c r="U18" s="405" t="s">
        <v>24</v>
      </c>
      <c r="V18" s="404"/>
      <c r="W18" s="405" t="s">
        <v>25</v>
      </c>
      <c r="X18" s="406"/>
      <c r="Y18" s="195"/>
    </row>
    <row r="19" ht="15" customHeight="1">
      <c r="A19" s="0">
        <v>1</v>
      </c>
      <c r="B19" s="169">
        <v>21</v>
      </c>
      <c r="C19" s="349"/>
      <c r="D19" s="287"/>
      <c r="E19" s="183" t="s">
        <v>47</v>
      </c>
      <c r="F19" s="349"/>
      <c r="G19" s="183">
        <v>131</v>
      </c>
      <c r="H19" s="183"/>
      <c r="I19" s="183"/>
      <c r="J19" s="183">
        <v>135</v>
      </c>
      <c r="K19" s="183"/>
      <c r="L19" s="183"/>
      <c r="M19" s="481" t="s">
        <v>37</v>
      </c>
      <c r="N19" s="481"/>
      <c r="O19" s="481"/>
      <c r="P19" s="481"/>
      <c r="Q19" s="481"/>
      <c r="R19" s="195"/>
      <c r="S19" s="203" t="e">
        <f>IF(RIGHT(Q19,1)="L",360-MID(Q19,1,FIND("L",Q19,1)-1),MID(Q19,1,FIND("C",Q19,1)-1))</f>
        <v>#VALUE!</v>
      </c>
      <c r="T19" s="192" t="e">
        <f>IF((S19+$AB$2)&gt;359,(S19+$AB$2)-360,S19+$AB$2)</f>
        <v>#VALUE!</v>
      </c>
      <c r="U19" s="138">
        <v>0</v>
      </c>
      <c r="V19" s="138" t="e">
        <f>P19*COS(RADIANS(T19))</f>
        <v>#VALUE!</v>
      </c>
      <c r="W19" s="144">
        <v>0</v>
      </c>
      <c r="X19" s="139" t="e">
        <f>P19*SIN(RADIANS(T19))</f>
        <v>#VALUE!</v>
      </c>
      <c r="Y19" s="195"/>
    </row>
    <row r="20" ht="30">
      <c r="A20" s="0">
        <v>1</v>
      </c>
      <c r="B20" s="169">
        <v>22</v>
      </c>
      <c r="C20" s="349"/>
      <c r="D20" s="177" t="s">
        <v>27</v>
      </c>
      <c r="E20" s="183" t="s">
        <v>48</v>
      </c>
      <c r="F20" s="183" t="s">
        <v>24</v>
      </c>
      <c r="G20" s="183">
        <v>3</v>
      </c>
      <c r="H20" s="183"/>
      <c r="I20" s="183"/>
      <c r="J20" s="96" t="s">
        <v>41</v>
      </c>
      <c r="K20" s="183"/>
      <c r="L20" s="183"/>
      <c r="M20" s="96" t="s">
        <v>49</v>
      </c>
      <c r="N20" s="96" t="s">
        <v>39</v>
      </c>
      <c r="O20" s="96" t="s">
        <v>41</v>
      </c>
      <c r="P20" s="183"/>
      <c r="Q20" s="183"/>
      <c r="R20" s="195"/>
      <c r="S20" s="203" t="e">
        <f>IF(RIGHT(Q20,1)="L",360-MID(Q20,1,FIND("L",Q20,1)-1),MID(Q20,1,FIND("C",Q20,1)-1))</f>
        <v>#VALUE!</v>
      </c>
      <c r="T20" s="192" t="e">
        <f>IF((S20+$AB$2)&gt;359,(S20+$AB$2)-360,S20+$AB$2)</f>
        <v>#VALUE!</v>
      </c>
      <c r="U20" s="140">
        <v>0</v>
      </c>
      <c r="V20" s="140" t="e">
        <f>P20*COS(RADIANS(T20))</f>
        <v>#VALUE!</v>
      </c>
      <c r="W20" s="145">
        <v>0</v>
      </c>
      <c r="X20" s="141" t="e">
        <f>P20*SIN(RADIANS(T20))</f>
        <v>#VALUE!</v>
      </c>
      <c r="Y20" s="195"/>
    </row>
    <row r="21" ht="15.75" customHeight="1">
      <c r="A21" s="0">
        <v>1</v>
      </c>
      <c r="B21" s="169">
        <v>31</v>
      </c>
      <c r="C21" s="349" t="s">
        <v>50</v>
      </c>
      <c r="D21" s="287" t="s">
        <v>27</v>
      </c>
      <c r="E21" s="183" t="s">
        <v>51</v>
      </c>
      <c r="F21" s="349" t="s">
        <v>24</v>
      </c>
      <c r="G21" s="183">
        <v>136</v>
      </c>
      <c r="H21" s="238"/>
      <c r="I21" s="238"/>
      <c r="J21" s="183">
        <v>140</v>
      </c>
      <c r="K21" s="183"/>
      <c r="L21" s="183"/>
      <c r="M21" s="349" t="s">
        <v>52</v>
      </c>
      <c r="N21" s="183">
        <v>2</v>
      </c>
      <c r="O21" s="183">
        <v>4</v>
      </c>
      <c r="P21" s="233"/>
      <c r="Q21" s="183"/>
      <c r="R21" s="195"/>
      <c r="S21" s="204" t="e">
        <f>IF(RIGHT(Q21,1)="L",360-MID(Q21,1,FIND("L",Q21,1)-1),MID(Q21,1,FIND("C",Q21,1)-1))</f>
        <v>#VALUE!</v>
      </c>
      <c r="T21" s="189" t="e">
        <f>IF((S21+$AB$2)&gt;359,(S21+$AB$2)-360,S21+$AB$2)</f>
        <v>#VALUE!</v>
      </c>
      <c r="U21" s="142">
        <v>0</v>
      </c>
      <c r="V21" s="142" t="e">
        <f>P21*COS(RADIANS(T21))</f>
        <v>#VALUE!</v>
      </c>
      <c r="W21" s="146">
        <v>0</v>
      </c>
      <c r="X21" s="143" t="e">
        <f>P21*SIN(RADIANS(T21))</f>
        <v>#VALUE!</v>
      </c>
      <c r="Y21" s="195"/>
    </row>
    <row r="22">
      <c r="A22" s="0">
        <v>1</v>
      </c>
      <c r="B22" s="169">
        <v>32</v>
      </c>
      <c r="C22" s="349"/>
      <c r="D22" s="287"/>
      <c r="E22" s="183" t="s">
        <v>53</v>
      </c>
      <c r="F22" s="349"/>
      <c r="G22" s="183">
        <v>137</v>
      </c>
      <c r="H22" s="238"/>
      <c r="I22" s="238"/>
      <c r="J22" s="183">
        <v>141</v>
      </c>
      <c r="K22" s="183"/>
      <c r="L22" s="183"/>
      <c r="M22" s="349"/>
      <c r="N22" s="183">
        <v>6</v>
      </c>
      <c r="O22" s="183">
        <v>8</v>
      </c>
      <c r="P22" s="233"/>
      <c r="Q22" s="183"/>
      <c r="R22" s="195"/>
      <c r="S22" s="195"/>
      <c r="T22" s="195"/>
      <c r="U22" s="195"/>
      <c r="V22" s="195"/>
      <c r="W22" s="195"/>
      <c r="X22" s="195"/>
      <c r="Y22" s="195"/>
    </row>
    <row r="23">
      <c r="A23" s="0">
        <v>1</v>
      </c>
      <c r="B23" s="234">
        <v>33</v>
      </c>
      <c r="C23" s="349"/>
      <c r="D23" s="287"/>
      <c r="E23" s="183" t="s">
        <v>54</v>
      </c>
      <c r="F23" s="349"/>
      <c r="G23" s="183">
        <v>138</v>
      </c>
      <c r="H23" s="238"/>
      <c r="I23" s="238"/>
      <c r="J23" s="183">
        <v>142</v>
      </c>
      <c r="K23" s="183"/>
      <c r="L23" s="183"/>
      <c r="M23" s="349"/>
      <c r="N23" s="183">
        <v>10</v>
      </c>
      <c r="O23" s="183">
        <v>12</v>
      </c>
      <c r="P23" s="233"/>
      <c r="Q23" s="183"/>
    </row>
    <row r="24">
      <c r="A24" s="0">
        <v>1</v>
      </c>
      <c r="B24" s="234">
        <v>34</v>
      </c>
      <c r="C24" s="349"/>
      <c r="D24" s="287"/>
      <c r="E24" s="183" t="s">
        <v>55</v>
      </c>
      <c r="F24" s="349"/>
      <c r="G24" s="183">
        <v>139</v>
      </c>
      <c r="H24" s="238"/>
      <c r="I24" s="238"/>
      <c r="J24" s="183">
        <v>143</v>
      </c>
      <c r="K24" s="183"/>
      <c r="L24" s="183"/>
      <c r="M24" s="481" t="s">
        <v>37</v>
      </c>
      <c r="N24" s="481"/>
      <c r="O24" s="481"/>
      <c r="P24" s="481"/>
      <c r="Q24" s="481"/>
    </row>
    <row r="25" ht="30">
      <c r="A25" s="0">
        <v>1</v>
      </c>
      <c r="B25" s="234">
        <v>35</v>
      </c>
      <c r="C25" s="354"/>
      <c r="D25" s="200" t="s">
        <v>27</v>
      </c>
      <c r="E25" s="185" t="s">
        <v>56</v>
      </c>
      <c r="F25" s="185" t="s">
        <v>24</v>
      </c>
      <c r="G25" s="185">
        <v>5</v>
      </c>
      <c r="H25" s="185"/>
      <c r="I25" s="185"/>
      <c r="J25" s="239" t="s">
        <v>57</v>
      </c>
      <c r="K25" s="185"/>
      <c r="L25" s="185"/>
      <c r="M25" s="239" t="s">
        <v>49</v>
      </c>
      <c r="N25" s="239" t="s">
        <v>39</v>
      </c>
      <c r="O25" s="239" t="s">
        <v>41</v>
      </c>
      <c r="P25" s="239"/>
      <c r="Q25" s="239"/>
    </row>
    <row r="26">
      <c r="A26" s="0">
        <v>1</v>
      </c>
      <c r="B26" s="234">
        <v>44</v>
      </c>
      <c r="C26" s="340" t="s">
        <v>58</v>
      </c>
      <c r="D26" s="326" t="s">
        <v>59</v>
      </c>
      <c r="E26" s="192" t="s">
        <v>60</v>
      </c>
      <c r="F26" s="340" t="s">
        <v>24</v>
      </c>
      <c r="G26" s="192">
        <v>120</v>
      </c>
      <c r="H26" s="192"/>
      <c r="I26" s="192"/>
      <c r="J26" s="37" t="s">
        <v>29</v>
      </c>
      <c r="K26" s="192"/>
      <c r="L26" s="192"/>
      <c r="M26" s="340" t="s">
        <v>30</v>
      </c>
      <c r="N26" s="192">
        <v>2</v>
      </c>
      <c r="O26" s="192">
        <v>4</v>
      </c>
      <c r="P26" s="192"/>
      <c r="Q26" s="192"/>
    </row>
    <row r="27">
      <c r="A27" s="0">
        <v>1</v>
      </c>
      <c r="B27" s="234">
        <v>45</v>
      </c>
      <c r="C27" s="340"/>
      <c r="D27" s="326"/>
      <c r="E27" s="192" t="s">
        <v>61</v>
      </c>
      <c r="F27" s="340"/>
      <c r="G27" s="192">
        <v>121</v>
      </c>
      <c r="H27" s="192"/>
      <c r="I27" s="192"/>
      <c r="J27" s="37" t="s">
        <v>32</v>
      </c>
      <c r="K27" s="192"/>
      <c r="L27" s="192"/>
      <c r="M27" s="340"/>
      <c r="N27" s="192">
        <v>6</v>
      </c>
      <c r="O27" s="192">
        <v>8</v>
      </c>
      <c r="P27" s="192"/>
      <c r="Q27" s="192"/>
    </row>
    <row r="28">
      <c r="A28" s="0">
        <v>1</v>
      </c>
      <c r="B28" s="234">
        <v>46</v>
      </c>
      <c r="C28" s="340"/>
      <c r="D28" s="326"/>
      <c r="E28" s="192" t="s">
        <v>62</v>
      </c>
      <c r="F28" s="340"/>
      <c r="G28" s="192">
        <v>122</v>
      </c>
      <c r="H28" s="192"/>
      <c r="I28" s="192"/>
      <c r="J28" s="37" t="s">
        <v>34</v>
      </c>
      <c r="K28" s="192"/>
      <c r="L28" s="192"/>
      <c r="M28" s="340"/>
      <c r="N28" s="192">
        <v>10</v>
      </c>
      <c r="O28" s="192">
        <v>12</v>
      </c>
      <c r="P28" s="192"/>
      <c r="Q28" s="192"/>
    </row>
    <row r="29">
      <c r="A29" s="0">
        <v>1</v>
      </c>
      <c r="B29" s="234">
        <v>47</v>
      </c>
      <c r="C29" s="340"/>
      <c r="D29" s="326"/>
      <c r="E29" s="192" t="s">
        <v>63</v>
      </c>
      <c r="F29" s="340"/>
      <c r="G29" s="192">
        <v>123</v>
      </c>
      <c r="H29" s="192"/>
      <c r="I29" s="192"/>
      <c r="J29" s="37" t="s">
        <v>36</v>
      </c>
      <c r="K29" s="192"/>
      <c r="L29" s="192"/>
      <c r="M29" s="482" t="s">
        <v>37</v>
      </c>
      <c r="N29" s="482"/>
      <c r="O29" s="482"/>
      <c r="P29" s="482"/>
      <c r="Q29" s="482"/>
    </row>
    <row r="30">
      <c r="A30" s="0">
        <v>1</v>
      </c>
      <c r="B30" s="234">
        <v>64</v>
      </c>
      <c r="C30" s="340" t="s">
        <v>64</v>
      </c>
      <c r="D30" s="326" t="s">
        <v>59</v>
      </c>
      <c r="E30" s="192" t="s">
        <v>65</v>
      </c>
      <c r="F30" s="340" t="s">
        <v>24</v>
      </c>
      <c r="G30" s="192">
        <v>128</v>
      </c>
      <c r="H30" s="192"/>
      <c r="I30" s="192"/>
      <c r="J30" s="192">
        <v>132</v>
      </c>
      <c r="K30" s="192"/>
      <c r="L30" s="192"/>
      <c r="M30" s="340" t="s">
        <v>44</v>
      </c>
      <c r="N30" s="192">
        <v>2</v>
      </c>
      <c r="O30" s="192">
        <v>4</v>
      </c>
      <c r="P30" s="192"/>
      <c r="Q30" s="192"/>
    </row>
    <row r="31">
      <c r="A31" s="0">
        <v>1</v>
      </c>
      <c r="B31" s="234">
        <v>65</v>
      </c>
      <c r="C31" s="340"/>
      <c r="D31" s="326"/>
      <c r="E31" s="192" t="s">
        <v>66</v>
      </c>
      <c r="F31" s="340"/>
      <c r="G31" s="192">
        <v>129</v>
      </c>
      <c r="H31" s="192"/>
      <c r="I31" s="192"/>
      <c r="J31" s="192">
        <v>133</v>
      </c>
      <c r="K31" s="192"/>
      <c r="L31" s="192"/>
      <c r="M31" s="340"/>
      <c r="N31" s="192">
        <v>6</v>
      </c>
      <c r="O31" s="192">
        <v>8</v>
      </c>
      <c r="P31" s="192"/>
      <c r="Q31" s="192"/>
    </row>
    <row r="32">
      <c r="A32" s="0">
        <v>1</v>
      </c>
      <c r="B32" s="234">
        <v>66</v>
      </c>
      <c r="C32" s="340"/>
      <c r="D32" s="326"/>
      <c r="E32" s="192" t="s">
        <v>67</v>
      </c>
      <c r="F32" s="340"/>
      <c r="G32" s="192">
        <v>130</v>
      </c>
      <c r="H32" s="192"/>
      <c r="I32" s="192"/>
      <c r="J32" s="192">
        <v>134</v>
      </c>
      <c r="K32" s="192"/>
      <c r="L32" s="192"/>
      <c r="M32" s="340"/>
      <c r="N32" s="192">
        <v>10</v>
      </c>
      <c r="O32" s="192">
        <v>12</v>
      </c>
      <c r="P32" s="192"/>
      <c r="Q32" s="192"/>
    </row>
    <row r="33">
      <c r="A33" s="0">
        <v>1</v>
      </c>
      <c r="B33" s="234">
        <v>67</v>
      </c>
      <c r="C33" s="340"/>
      <c r="D33" s="326"/>
      <c r="E33" s="192" t="s">
        <v>68</v>
      </c>
      <c r="F33" s="340"/>
      <c r="G33" s="192">
        <v>131</v>
      </c>
      <c r="H33" s="192"/>
      <c r="I33" s="192"/>
      <c r="J33" s="192">
        <v>135</v>
      </c>
      <c r="K33" s="192"/>
      <c r="L33" s="192"/>
      <c r="M33" s="482" t="s">
        <v>37</v>
      </c>
      <c r="N33" s="482"/>
      <c r="O33" s="482"/>
      <c r="P33" s="482"/>
      <c r="Q33" s="482"/>
    </row>
    <row r="34">
      <c r="A34" s="0">
        <v>1</v>
      </c>
      <c r="B34" s="234">
        <v>72</v>
      </c>
      <c r="C34" s="340" t="s">
        <v>50</v>
      </c>
      <c r="D34" s="326" t="s">
        <v>59</v>
      </c>
      <c r="E34" s="192" t="s">
        <v>51</v>
      </c>
      <c r="F34" s="340" t="s">
        <v>24</v>
      </c>
      <c r="G34" s="192">
        <v>136</v>
      </c>
      <c r="H34" s="232"/>
      <c r="I34" s="232"/>
      <c r="J34" s="192">
        <v>140</v>
      </c>
      <c r="K34" s="192"/>
      <c r="L34" s="192"/>
      <c r="M34" s="340" t="s">
        <v>52</v>
      </c>
      <c r="N34" s="192">
        <v>2</v>
      </c>
      <c r="O34" s="192">
        <v>4</v>
      </c>
      <c r="P34" s="19"/>
      <c r="Q34" s="192"/>
    </row>
    <row r="35">
      <c r="A35" s="0">
        <v>1</v>
      </c>
      <c r="B35" s="234">
        <v>73</v>
      </c>
      <c r="C35" s="340"/>
      <c r="D35" s="326"/>
      <c r="E35" s="192" t="s">
        <v>53</v>
      </c>
      <c r="F35" s="340"/>
      <c r="G35" s="192">
        <v>137</v>
      </c>
      <c r="H35" s="232"/>
      <c r="I35" s="232"/>
      <c r="J35" s="192">
        <v>141</v>
      </c>
      <c r="K35" s="192"/>
      <c r="L35" s="192"/>
      <c r="M35" s="340"/>
      <c r="N35" s="192">
        <v>6</v>
      </c>
      <c r="O35" s="192">
        <v>8</v>
      </c>
      <c r="P35" s="19"/>
      <c r="Q35" s="192"/>
    </row>
    <row r="36">
      <c r="A36" s="0">
        <v>1</v>
      </c>
      <c r="B36" s="234">
        <v>74</v>
      </c>
      <c r="C36" s="340"/>
      <c r="D36" s="326"/>
      <c r="E36" s="192" t="s">
        <v>54</v>
      </c>
      <c r="F36" s="340"/>
      <c r="G36" s="192">
        <v>138</v>
      </c>
      <c r="H36" s="232"/>
      <c r="I36" s="232"/>
      <c r="J36" s="192">
        <v>142</v>
      </c>
      <c r="K36" s="192"/>
      <c r="L36" s="192"/>
      <c r="M36" s="340"/>
      <c r="N36" s="192">
        <v>10</v>
      </c>
      <c r="O36" s="192">
        <v>12</v>
      </c>
      <c r="P36" s="19"/>
      <c r="Q36" s="192"/>
    </row>
    <row r="37" ht="15.75">
      <c r="A37" s="0">
        <v>1</v>
      </c>
      <c r="B37" s="234">
        <v>75</v>
      </c>
      <c r="C37" s="340"/>
      <c r="D37" s="326"/>
      <c r="E37" s="192" t="s">
        <v>55</v>
      </c>
      <c r="F37" s="340"/>
      <c r="G37" s="192">
        <v>139</v>
      </c>
      <c r="H37" s="232"/>
      <c r="I37" s="232"/>
      <c r="J37" s="192">
        <v>143</v>
      </c>
      <c r="K37" s="192"/>
      <c r="L37" s="192"/>
      <c r="M37" s="482" t="s">
        <v>37</v>
      </c>
      <c r="N37" s="482"/>
      <c r="O37" s="482"/>
      <c r="P37" s="482"/>
      <c r="Q37" s="482"/>
    </row>
    <row r="38">
      <c r="A38" s="0">
        <v>1</v>
      </c>
      <c r="B38" s="234">
        <v>10</v>
      </c>
      <c r="C38" s="349" t="s">
        <v>26</v>
      </c>
      <c r="D38" s="483" t="s">
        <v>69</v>
      </c>
      <c r="E38" s="181" t="s">
        <v>70</v>
      </c>
      <c r="F38" s="348" t="s">
        <v>71</v>
      </c>
      <c r="G38" s="181">
        <v>11</v>
      </c>
      <c r="H38" s="181"/>
      <c r="I38" s="181"/>
      <c r="J38" s="280" t="s">
        <v>37</v>
      </c>
      <c r="K38" s="298"/>
      <c r="L38" s="299"/>
      <c r="M38" s="348" t="s">
        <v>72</v>
      </c>
      <c r="N38" s="181">
        <v>2</v>
      </c>
      <c r="O38" s="181">
        <v>4</v>
      </c>
      <c r="P38" s="181"/>
      <c r="Q38" s="182"/>
    </row>
    <row r="39">
      <c r="A39" s="0">
        <v>1</v>
      </c>
      <c r="B39" s="234">
        <v>11</v>
      </c>
      <c r="C39" s="349"/>
      <c r="D39" s="484"/>
      <c r="E39" s="183" t="s">
        <v>73</v>
      </c>
      <c r="F39" s="349"/>
      <c r="G39" s="183">
        <v>12</v>
      </c>
      <c r="H39" s="183"/>
      <c r="I39" s="183"/>
      <c r="J39" s="281"/>
      <c r="K39" s="300"/>
      <c r="L39" s="301"/>
      <c r="M39" s="349"/>
      <c r="N39" s="183">
        <v>6</v>
      </c>
      <c r="O39" s="183">
        <v>8</v>
      </c>
      <c r="P39" s="183"/>
      <c r="Q39" s="184"/>
    </row>
    <row r="40">
      <c r="A40" s="0">
        <v>1</v>
      </c>
      <c r="B40" s="234">
        <v>12</v>
      </c>
      <c r="C40" s="349"/>
      <c r="D40" s="484"/>
      <c r="E40" s="183" t="s">
        <v>74</v>
      </c>
      <c r="F40" s="349"/>
      <c r="G40" s="183">
        <v>13</v>
      </c>
      <c r="H40" s="183"/>
      <c r="I40" s="183"/>
      <c r="J40" s="281"/>
      <c r="K40" s="300"/>
      <c r="L40" s="301"/>
      <c r="M40" s="349"/>
      <c r="N40" s="183">
        <v>10</v>
      </c>
      <c r="O40" s="183">
        <v>12</v>
      </c>
      <c r="P40" s="183"/>
      <c r="Q40" s="184"/>
    </row>
    <row r="41" ht="15.75">
      <c r="A41" s="0">
        <v>1</v>
      </c>
      <c r="B41" s="234">
        <v>13</v>
      </c>
      <c r="C41" s="349"/>
      <c r="D41" s="485"/>
      <c r="E41" s="186" t="s">
        <v>35</v>
      </c>
      <c r="F41" s="350"/>
      <c r="G41" s="186">
        <v>14</v>
      </c>
      <c r="H41" s="186"/>
      <c r="I41" s="186"/>
      <c r="J41" s="282"/>
      <c r="K41" s="296"/>
      <c r="L41" s="302"/>
      <c r="M41" s="477" t="s">
        <v>37</v>
      </c>
      <c r="N41" s="477"/>
      <c r="O41" s="477"/>
      <c r="P41" s="477"/>
      <c r="Q41" s="478"/>
    </row>
    <row r="42">
      <c r="A42" s="0">
        <v>1</v>
      </c>
      <c r="B42" s="234">
        <v>23</v>
      </c>
      <c r="C42" s="349" t="s">
        <v>42</v>
      </c>
      <c r="D42" s="486" t="s">
        <v>69</v>
      </c>
      <c r="E42" s="181" t="s">
        <v>75</v>
      </c>
      <c r="F42" s="348" t="s">
        <v>71</v>
      </c>
      <c r="G42" s="181">
        <v>15</v>
      </c>
      <c r="H42" s="181"/>
      <c r="I42" s="181"/>
      <c r="J42" s="280" t="s">
        <v>37</v>
      </c>
      <c r="K42" s="298"/>
      <c r="L42" s="299"/>
      <c r="M42" s="348" t="s">
        <v>72</v>
      </c>
      <c r="N42" s="181">
        <v>2</v>
      </c>
      <c r="O42" s="181">
        <v>4</v>
      </c>
      <c r="P42" s="181"/>
      <c r="Q42" s="182"/>
    </row>
    <row r="43">
      <c r="A43" s="0">
        <v>1</v>
      </c>
      <c r="B43" s="234">
        <v>24</v>
      </c>
      <c r="C43" s="349"/>
      <c r="D43" s="487"/>
      <c r="E43" s="183" t="s">
        <v>76</v>
      </c>
      <c r="F43" s="349"/>
      <c r="G43" s="183">
        <v>16</v>
      </c>
      <c r="H43" s="183"/>
      <c r="I43" s="183"/>
      <c r="J43" s="281"/>
      <c r="K43" s="300"/>
      <c r="L43" s="301"/>
      <c r="M43" s="349"/>
      <c r="N43" s="183">
        <v>6</v>
      </c>
      <c r="O43" s="183">
        <v>8</v>
      </c>
      <c r="P43" s="183"/>
      <c r="Q43" s="184"/>
    </row>
    <row r="44">
      <c r="A44" s="0">
        <v>1</v>
      </c>
      <c r="B44" s="234">
        <v>25</v>
      </c>
      <c r="C44" s="349"/>
      <c r="D44" s="487"/>
      <c r="E44" s="183" t="s">
        <v>77</v>
      </c>
      <c r="F44" s="349"/>
      <c r="G44" s="183">
        <v>17</v>
      </c>
      <c r="H44" s="183"/>
      <c r="I44" s="183"/>
      <c r="J44" s="281"/>
      <c r="K44" s="300"/>
      <c r="L44" s="301"/>
      <c r="M44" s="349"/>
      <c r="N44" s="183">
        <v>10</v>
      </c>
      <c r="O44" s="183">
        <v>12</v>
      </c>
      <c r="P44" s="183"/>
      <c r="Q44" s="184"/>
    </row>
    <row r="45" ht="15.75">
      <c r="A45" s="0">
        <v>1</v>
      </c>
      <c r="B45" s="234">
        <v>26</v>
      </c>
      <c r="C45" s="349"/>
      <c r="D45" s="488"/>
      <c r="E45" s="186" t="s">
        <v>47</v>
      </c>
      <c r="F45" s="350"/>
      <c r="G45" s="186">
        <v>18</v>
      </c>
      <c r="H45" s="186"/>
      <c r="I45" s="186"/>
      <c r="J45" s="282"/>
      <c r="K45" s="296"/>
      <c r="L45" s="302"/>
      <c r="M45" s="477" t="s">
        <v>37</v>
      </c>
      <c r="N45" s="477"/>
      <c r="O45" s="477"/>
      <c r="P45" s="477"/>
      <c r="Q45" s="478"/>
    </row>
    <row r="46">
      <c r="A46" s="0">
        <v>1</v>
      </c>
      <c r="B46" s="234">
        <v>36</v>
      </c>
      <c r="C46" s="349" t="s">
        <v>50</v>
      </c>
      <c r="D46" s="486" t="s">
        <v>69</v>
      </c>
      <c r="E46" s="181" t="s">
        <v>78</v>
      </c>
      <c r="F46" s="348" t="s">
        <v>71</v>
      </c>
      <c r="G46" s="181">
        <v>15</v>
      </c>
      <c r="H46" s="181"/>
      <c r="I46" s="181"/>
      <c r="J46" s="280" t="s">
        <v>37</v>
      </c>
      <c r="K46" s="298"/>
      <c r="L46" s="299"/>
      <c r="M46" s="348" t="s">
        <v>79</v>
      </c>
      <c r="N46" s="181">
        <v>2</v>
      </c>
      <c r="O46" s="181">
        <v>4</v>
      </c>
      <c r="P46" s="240"/>
      <c r="Q46" s="182"/>
    </row>
    <row r="47">
      <c r="A47" s="0">
        <v>1</v>
      </c>
      <c r="B47" s="234">
        <v>37</v>
      </c>
      <c r="C47" s="349"/>
      <c r="D47" s="487"/>
      <c r="E47" s="183" t="s">
        <v>80</v>
      </c>
      <c r="F47" s="349"/>
      <c r="G47" s="183">
        <v>16</v>
      </c>
      <c r="H47" s="183"/>
      <c r="I47" s="183"/>
      <c r="J47" s="281"/>
      <c r="K47" s="300"/>
      <c r="L47" s="301"/>
      <c r="M47" s="349"/>
      <c r="N47" s="183">
        <v>6</v>
      </c>
      <c r="O47" s="183">
        <v>8</v>
      </c>
      <c r="P47" s="233"/>
      <c r="Q47" s="184"/>
    </row>
    <row r="48">
      <c r="A48" s="0">
        <v>1</v>
      </c>
      <c r="B48" s="234">
        <v>38</v>
      </c>
      <c r="C48" s="349"/>
      <c r="D48" s="487"/>
      <c r="E48" s="183" t="s">
        <v>81</v>
      </c>
      <c r="F48" s="349"/>
      <c r="G48" s="183">
        <v>17</v>
      </c>
      <c r="H48" s="183"/>
      <c r="I48" s="183"/>
      <c r="J48" s="281"/>
      <c r="K48" s="300"/>
      <c r="L48" s="301"/>
      <c r="M48" s="349"/>
      <c r="N48" s="183">
        <v>10</v>
      </c>
      <c r="O48" s="183">
        <v>12</v>
      </c>
      <c r="P48" s="233"/>
      <c r="Q48" s="184"/>
    </row>
    <row r="49" ht="15.75">
      <c r="A49" s="0">
        <v>1</v>
      </c>
      <c r="B49" s="234">
        <v>39</v>
      </c>
      <c r="C49" s="349"/>
      <c r="D49" s="488"/>
      <c r="E49" s="186" t="s">
        <v>82</v>
      </c>
      <c r="F49" s="350"/>
      <c r="G49" s="186">
        <v>18</v>
      </c>
      <c r="H49" s="186"/>
      <c r="I49" s="186"/>
      <c r="J49" s="282"/>
      <c r="K49" s="296"/>
      <c r="L49" s="302"/>
      <c r="M49" s="477" t="s">
        <v>37</v>
      </c>
      <c r="N49" s="477"/>
      <c r="O49" s="477"/>
      <c r="P49" s="477"/>
      <c r="Q49" s="478"/>
    </row>
    <row r="50">
      <c r="A50" s="0">
        <v>1</v>
      </c>
      <c r="B50" s="234">
        <v>48</v>
      </c>
      <c r="C50" s="340" t="s">
        <v>58</v>
      </c>
      <c r="D50" s="421" t="s">
        <v>83</v>
      </c>
      <c r="E50" s="191" t="s">
        <v>84</v>
      </c>
      <c r="F50" s="339" t="s">
        <v>85</v>
      </c>
      <c r="G50" s="191">
        <v>9</v>
      </c>
      <c r="H50" s="191"/>
      <c r="I50" s="191"/>
      <c r="J50" s="191">
        <v>10</v>
      </c>
      <c r="K50" s="191"/>
      <c r="L50" s="191"/>
      <c r="M50" s="339" t="s">
        <v>86</v>
      </c>
      <c r="N50" s="191">
        <v>2</v>
      </c>
      <c r="O50" s="191">
        <v>4</v>
      </c>
      <c r="P50" s="191"/>
      <c r="Q50" s="191"/>
    </row>
    <row r="51">
      <c r="A51" s="0">
        <v>1</v>
      </c>
      <c r="B51" s="234">
        <v>49</v>
      </c>
      <c r="C51" s="340"/>
      <c r="D51" s="422"/>
      <c r="E51" s="192" t="s">
        <v>87</v>
      </c>
      <c r="F51" s="340"/>
      <c r="G51" s="192">
        <v>11</v>
      </c>
      <c r="H51" s="192"/>
      <c r="I51" s="192"/>
      <c r="J51" s="192">
        <v>12</v>
      </c>
      <c r="K51" s="192"/>
      <c r="L51" s="192"/>
      <c r="M51" s="340"/>
      <c r="N51" s="192">
        <v>6</v>
      </c>
      <c r="O51" s="192">
        <v>8</v>
      </c>
      <c r="P51" s="192"/>
      <c r="Q51" s="192"/>
    </row>
    <row r="52">
      <c r="A52" s="0">
        <v>1</v>
      </c>
      <c r="B52" s="234">
        <v>50</v>
      </c>
      <c r="C52" s="340"/>
      <c r="D52" s="422"/>
      <c r="E52" s="192" t="s">
        <v>88</v>
      </c>
      <c r="F52" s="340"/>
      <c r="G52" s="192">
        <v>13</v>
      </c>
      <c r="H52" s="192"/>
      <c r="I52" s="192"/>
      <c r="J52" s="192">
        <v>14</v>
      </c>
      <c r="K52" s="192"/>
      <c r="L52" s="192"/>
      <c r="M52" s="340"/>
      <c r="N52" s="192">
        <v>10</v>
      </c>
      <c r="O52" s="192">
        <v>12</v>
      </c>
      <c r="P52" s="192"/>
      <c r="Q52" s="192"/>
    </row>
    <row r="53" ht="15.75">
      <c r="A53" s="0">
        <v>1</v>
      </c>
      <c r="B53" s="234">
        <v>51</v>
      </c>
      <c r="C53" s="340"/>
      <c r="D53" s="423"/>
      <c r="E53" s="189" t="s">
        <v>63</v>
      </c>
      <c r="F53" s="342"/>
      <c r="G53" s="189">
        <v>14</v>
      </c>
      <c r="H53" s="189"/>
      <c r="I53" s="189"/>
      <c r="J53" s="189">
        <v>14</v>
      </c>
      <c r="K53" s="189"/>
      <c r="L53" s="189"/>
      <c r="M53" s="357" t="s">
        <v>37</v>
      </c>
      <c r="N53" s="357"/>
      <c r="O53" s="357"/>
      <c r="P53" s="357"/>
      <c r="Q53" s="358"/>
    </row>
    <row r="54">
      <c r="A54" s="0">
        <v>1</v>
      </c>
      <c r="B54" s="234">
        <v>52</v>
      </c>
      <c r="C54" s="340" t="s">
        <v>58</v>
      </c>
      <c r="D54" s="442"/>
      <c r="E54" s="443"/>
      <c r="F54" s="443"/>
      <c r="G54" s="443"/>
      <c r="H54" s="443"/>
      <c r="I54" s="443"/>
      <c r="J54" s="443"/>
      <c r="K54" s="443"/>
      <c r="L54" s="444"/>
      <c r="M54" s="339" t="s">
        <v>89</v>
      </c>
      <c r="N54" s="252">
        <v>2</v>
      </c>
      <c r="O54" s="252">
        <v>4</v>
      </c>
      <c r="P54" s="252"/>
      <c r="Q54" s="252"/>
    </row>
    <row r="55">
      <c r="A55" s="0">
        <v>1</v>
      </c>
      <c r="B55" s="234">
        <v>53</v>
      </c>
      <c r="C55" s="340"/>
      <c r="D55" s="445"/>
      <c r="E55" s="446"/>
      <c r="F55" s="446"/>
      <c r="G55" s="446"/>
      <c r="H55" s="446"/>
      <c r="I55" s="446"/>
      <c r="J55" s="446"/>
      <c r="K55" s="446"/>
      <c r="L55" s="447"/>
      <c r="M55" s="340"/>
      <c r="N55" s="253">
        <v>6</v>
      </c>
      <c r="O55" s="253">
        <v>8</v>
      </c>
      <c r="P55" s="253"/>
      <c r="Q55" s="253"/>
    </row>
    <row r="56">
      <c r="A56" s="0">
        <v>1</v>
      </c>
      <c r="B56" s="234">
        <v>54</v>
      </c>
      <c r="C56" s="340"/>
      <c r="D56" s="445"/>
      <c r="E56" s="446"/>
      <c r="F56" s="446"/>
      <c r="G56" s="446"/>
      <c r="H56" s="446"/>
      <c r="I56" s="446"/>
      <c r="J56" s="446"/>
      <c r="K56" s="446"/>
      <c r="L56" s="447"/>
      <c r="M56" s="340"/>
      <c r="N56" s="253">
        <v>10</v>
      </c>
      <c r="O56" s="253">
        <v>12</v>
      </c>
      <c r="P56" s="253"/>
      <c r="Q56" s="253"/>
    </row>
    <row r="57" ht="15.75">
      <c r="A57" s="0">
        <v>1</v>
      </c>
      <c r="B57" s="234">
        <v>55</v>
      </c>
      <c r="C57" s="340"/>
      <c r="D57" s="448"/>
      <c r="E57" s="449"/>
      <c r="F57" s="449"/>
      <c r="G57" s="449"/>
      <c r="H57" s="449"/>
      <c r="I57" s="449"/>
      <c r="J57" s="449"/>
      <c r="K57" s="449"/>
      <c r="L57" s="450"/>
      <c r="M57" s="357" t="s">
        <v>37</v>
      </c>
      <c r="N57" s="357"/>
      <c r="O57" s="357"/>
      <c r="P57" s="357"/>
      <c r="Q57" s="358"/>
    </row>
    <row r="58">
      <c r="A58" s="0">
        <v>1</v>
      </c>
      <c r="B58" s="234">
        <v>56</v>
      </c>
      <c r="C58" s="349" t="s">
        <v>58</v>
      </c>
      <c r="D58" s="483" t="s">
        <v>90</v>
      </c>
      <c r="E58" s="181" t="s">
        <v>91</v>
      </c>
      <c r="F58" s="348" t="s">
        <v>24</v>
      </c>
      <c r="G58" s="181">
        <v>81</v>
      </c>
      <c r="H58" s="181"/>
      <c r="I58" s="181"/>
      <c r="J58" s="280" t="s">
        <v>37</v>
      </c>
      <c r="K58" s="298"/>
      <c r="L58" s="299"/>
      <c r="M58" s="348" t="s">
        <v>92</v>
      </c>
      <c r="N58" s="181">
        <v>2</v>
      </c>
      <c r="O58" s="181">
        <v>4</v>
      </c>
      <c r="P58" s="181"/>
      <c r="Q58" s="181"/>
    </row>
    <row r="59">
      <c r="A59" s="0">
        <v>1</v>
      </c>
      <c r="B59" s="234">
        <v>57</v>
      </c>
      <c r="C59" s="349"/>
      <c r="D59" s="484"/>
      <c r="E59" s="183" t="s">
        <v>93</v>
      </c>
      <c r="F59" s="349"/>
      <c r="G59" s="183">
        <v>82</v>
      </c>
      <c r="H59" s="183"/>
      <c r="I59" s="183"/>
      <c r="J59" s="281"/>
      <c r="K59" s="300"/>
      <c r="L59" s="301"/>
      <c r="M59" s="349"/>
      <c r="N59" s="183">
        <v>6</v>
      </c>
      <c r="O59" s="183">
        <v>8</v>
      </c>
      <c r="P59" s="183"/>
      <c r="Q59" s="183"/>
    </row>
    <row r="60">
      <c r="A60" s="0">
        <v>1</v>
      </c>
      <c r="B60" s="234">
        <v>58</v>
      </c>
      <c r="C60" s="349"/>
      <c r="D60" s="484"/>
      <c r="E60" s="183" t="s">
        <v>94</v>
      </c>
      <c r="F60" s="349"/>
      <c r="G60" s="183">
        <v>83</v>
      </c>
      <c r="H60" s="183"/>
      <c r="I60" s="183"/>
      <c r="J60" s="281"/>
      <c r="K60" s="300"/>
      <c r="L60" s="301"/>
      <c r="M60" s="349"/>
      <c r="N60" s="183">
        <v>10</v>
      </c>
      <c r="O60" s="183">
        <v>12</v>
      </c>
      <c r="P60" s="183"/>
      <c r="Q60" s="183"/>
    </row>
    <row r="61" ht="15.75">
      <c r="A61" s="0">
        <v>1</v>
      </c>
      <c r="B61" s="234">
        <v>59</v>
      </c>
      <c r="C61" s="349"/>
      <c r="D61" s="485"/>
      <c r="E61" s="186" t="s">
        <v>63</v>
      </c>
      <c r="F61" s="350"/>
      <c r="G61" s="186">
        <v>84</v>
      </c>
      <c r="H61" s="186"/>
      <c r="I61" s="186"/>
      <c r="J61" s="282"/>
      <c r="K61" s="296"/>
      <c r="L61" s="302"/>
      <c r="M61" s="477" t="s">
        <v>37</v>
      </c>
      <c r="N61" s="477"/>
      <c r="O61" s="477"/>
      <c r="P61" s="477"/>
      <c r="Q61" s="478"/>
    </row>
    <row r="62">
      <c r="A62" s="0">
        <v>1</v>
      </c>
      <c r="B62" s="234">
        <v>76</v>
      </c>
      <c r="C62" s="349" t="s">
        <v>58</v>
      </c>
      <c r="D62" s="471"/>
      <c r="E62" s="472"/>
      <c r="F62" s="472"/>
      <c r="G62" s="472"/>
      <c r="H62" s="472"/>
      <c r="I62" s="472"/>
      <c r="J62" s="472"/>
      <c r="K62" s="472"/>
      <c r="L62" s="416"/>
      <c r="M62" s="348" t="s">
        <v>92</v>
      </c>
      <c r="N62" s="255">
        <v>2</v>
      </c>
      <c r="O62" s="255">
        <v>4</v>
      </c>
      <c r="P62" s="255"/>
      <c r="Q62" s="255"/>
    </row>
    <row r="63">
      <c r="A63" s="0">
        <v>1</v>
      </c>
      <c r="B63" s="234">
        <v>77</v>
      </c>
      <c r="C63" s="349"/>
      <c r="D63" s="473"/>
      <c r="E63" s="474"/>
      <c r="F63" s="474"/>
      <c r="G63" s="474"/>
      <c r="H63" s="474"/>
      <c r="I63" s="474"/>
      <c r="J63" s="474"/>
      <c r="K63" s="474"/>
      <c r="L63" s="371"/>
      <c r="M63" s="349"/>
      <c r="N63" s="256">
        <v>6</v>
      </c>
      <c r="O63" s="256">
        <v>8</v>
      </c>
      <c r="P63" s="256"/>
      <c r="Q63" s="256"/>
    </row>
    <row r="64">
      <c r="A64" s="0">
        <v>1</v>
      </c>
      <c r="B64" s="234">
        <v>78</v>
      </c>
      <c r="C64" s="349"/>
      <c r="D64" s="473"/>
      <c r="E64" s="474"/>
      <c r="F64" s="474"/>
      <c r="G64" s="474"/>
      <c r="H64" s="474"/>
      <c r="I64" s="474"/>
      <c r="J64" s="474"/>
      <c r="K64" s="474"/>
      <c r="L64" s="371"/>
      <c r="M64" s="349"/>
      <c r="N64" s="256">
        <v>10</v>
      </c>
      <c r="O64" s="256">
        <v>12</v>
      </c>
      <c r="P64" s="256"/>
      <c r="Q64" s="256"/>
    </row>
    <row r="65" ht="15.75">
      <c r="A65" s="0">
        <v>1</v>
      </c>
      <c r="B65" s="234">
        <v>79</v>
      </c>
      <c r="C65" s="349"/>
      <c r="D65" s="475"/>
      <c r="E65" s="476"/>
      <c r="F65" s="476"/>
      <c r="G65" s="476"/>
      <c r="H65" s="476"/>
      <c r="I65" s="476"/>
      <c r="J65" s="476"/>
      <c r="K65" s="476"/>
      <c r="L65" s="372"/>
      <c r="M65" s="477" t="s">
        <v>37</v>
      </c>
      <c r="N65" s="477"/>
      <c r="O65" s="477"/>
      <c r="P65" s="477"/>
      <c r="Q65" s="478"/>
    </row>
    <row r="66">
      <c r="A66" s="0">
        <v>1</v>
      </c>
      <c r="B66" s="234">
        <v>1</v>
      </c>
      <c r="C66" s="340" t="s">
        <v>26</v>
      </c>
      <c r="D66" s="421" t="s">
        <v>95</v>
      </c>
      <c r="E66" s="191" t="s">
        <v>28</v>
      </c>
      <c r="F66" s="261" t="s">
        <v>24</v>
      </c>
      <c r="G66" s="305" t="s">
        <v>37</v>
      </c>
      <c r="H66" s="306"/>
      <c r="I66" s="314"/>
      <c r="J66" s="36" t="s">
        <v>96</v>
      </c>
      <c r="K66" s="191"/>
      <c r="L66" s="191"/>
      <c r="M66" s="305" t="s">
        <v>97</v>
      </c>
      <c r="N66" s="306"/>
      <c r="O66" s="306"/>
      <c r="P66" s="306"/>
      <c r="Q66" s="307"/>
    </row>
    <row r="67">
      <c r="A67" s="0">
        <v>1</v>
      </c>
      <c r="B67" s="234">
        <v>2</v>
      </c>
      <c r="C67" s="340"/>
      <c r="D67" s="422"/>
      <c r="E67" s="192" t="s">
        <v>31</v>
      </c>
      <c r="F67" s="326"/>
      <c r="G67" s="308"/>
      <c r="H67" s="309"/>
      <c r="I67" s="315"/>
      <c r="J67" s="37" t="s">
        <v>39</v>
      </c>
      <c r="K67" s="192"/>
      <c r="L67" s="192"/>
      <c r="M67" s="308"/>
      <c r="N67" s="309"/>
      <c r="O67" s="309"/>
      <c r="P67" s="309"/>
      <c r="Q67" s="310"/>
    </row>
    <row r="68">
      <c r="A68" s="0">
        <v>1</v>
      </c>
      <c r="B68" s="234">
        <v>3</v>
      </c>
      <c r="C68" s="340"/>
      <c r="D68" s="422"/>
      <c r="E68" s="192" t="s">
        <v>33</v>
      </c>
      <c r="F68" s="326"/>
      <c r="G68" s="308"/>
      <c r="H68" s="309"/>
      <c r="I68" s="315"/>
      <c r="J68" s="37" t="s">
        <v>98</v>
      </c>
      <c r="K68" s="192"/>
      <c r="L68" s="192"/>
      <c r="M68" s="308"/>
      <c r="N68" s="309"/>
      <c r="O68" s="309"/>
      <c r="P68" s="309"/>
      <c r="Q68" s="310"/>
    </row>
    <row r="69" ht="15.75">
      <c r="A69" s="0">
        <v>1</v>
      </c>
      <c r="B69" s="234">
        <v>4</v>
      </c>
      <c r="C69" s="340"/>
      <c r="D69" s="423"/>
      <c r="E69" s="189" t="s">
        <v>35</v>
      </c>
      <c r="F69" s="262"/>
      <c r="G69" s="311"/>
      <c r="H69" s="312"/>
      <c r="I69" s="316"/>
      <c r="J69" s="24" t="s">
        <v>41</v>
      </c>
      <c r="K69" s="189"/>
      <c r="L69" s="189"/>
      <c r="M69" s="311"/>
      <c r="N69" s="312"/>
      <c r="O69" s="312"/>
      <c r="P69" s="312"/>
      <c r="Q69" s="313"/>
    </row>
    <row r="70">
      <c r="A70" s="0">
        <v>1</v>
      </c>
      <c r="B70" s="234">
        <v>40</v>
      </c>
      <c r="C70" s="340" t="s">
        <v>58</v>
      </c>
      <c r="D70" s="421" t="s">
        <v>95</v>
      </c>
      <c r="E70" s="191" t="s">
        <v>28</v>
      </c>
      <c r="F70" s="261" t="s">
        <v>24</v>
      </c>
      <c r="G70" s="305" t="s">
        <v>37</v>
      </c>
      <c r="H70" s="306"/>
      <c r="I70" s="314"/>
      <c r="J70" s="36" t="s">
        <v>99</v>
      </c>
      <c r="K70" s="191"/>
      <c r="L70" s="191"/>
      <c r="M70" s="305" t="s">
        <v>97</v>
      </c>
      <c r="N70" s="306"/>
      <c r="O70" s="306"/>
      <c r="P70" s="306"/>
      <c r="Q70" s="307"/>
    </row>
    <row r="71">
      <c r="A71" s="0">
        <v>1</v>
      </c>
      <c r="B71" s="234">
        <v>41</v>
      </c>
      <c r="C71" s="340"/>
      <c r="D71" s="422"/>
      <c r="E71" s="192" t="s">
        <v>31</v>
      </c>
      <c r="F71" s="326"/>
      <c r="G71" s="308"/>
      <c r="H71" s="309"/>
      <c r="I71" s="315"/>
      <c r="J71" s="37" t="s">
        <v>100</v>
      </c>
      <c r="K71" s="192"/>
      <c r="L71" s="192"/>
      <c r="M71" s="308"/>
      <c r="N71" s="309"/>
      <c r="O71" s="309"/>
      <c r="P71" s="309"/>
      <c r="Q71" s="310"/>
    </row>
    <row r="72">
      <c r="A72" s="0">
        <v>1</v>
      </c>
      <c r="B72" s="234">
        <v>42</v>
      </c>
      <c r="C72" s="340"/>
      <c r="D72" s="422"/>
      <c r="E72" s="192" t="s">
        <v>33</v>
      </c>
      <c r="F72" s="326"/>
      <c r="G72" s="308"/>
      <c r="H72" s="309"/>
      <c r="I72" s="315"/>
      <c r="J72" s="37" t="s">
        <v>101</v>
      </c>
      <c r="K72" s="192"/>
      <c r="L72" s="192"/>
      <c r="M72" s="308"/>
      <c r="N72" s="309"/>
      <c r="O72" s="309"/>
      <c r="P72" s="309"/>
      <c r="Q72" s="310"/>
    </row>
    <row r="73" ht="15.75">
      <c r="A73" s="0">
        <v>1</v>
      </c>
      <c r="B73" s="234">
        <v>43</v>
      </c>
      <c r="C73" s="340"/>
      <c r="D73" s="423"/>
      <c r="E73" s="189" t="s">
        <v>35</v>
      </c>
      <c r="F73" s="262"/>
      <c r="G73" s="311"/>
      <c r="H73" s="312"/>
      <c r="I73" s="316"/>
      <c r="J73" s="24" t="s">
        <v>102</v>
      </c>
      <c r="K73" s="189"/>
      <c r="L73" s="189"/>
      <c r="M73" s="311"/>
      <c r="N73" s="312"/>
      <c r="O73" s="312"/>
      <c r="P73" s="312"/>
      <c r="Q73" s="313"/>
    </row>
    <row r="74">
      <c r="A74" s="0">
        <v>1</v>
      </c>
      <c r="B74" s="234">
        <v>14</v>
      </c>
      <c r="C74" s="349" t="s">
        <v>42</v>
      </c>
      <c r="D74" s="486" t="s">
        <v>103</v>
      </c>
      <c r="E74" s="181" t="s">
        <v>43</v>
      </c>
      <c r="F74" s="348" t="s">
        <v>104</v>
      </c>
      <c r="G74" s="181"/>
      <c r="H74" s="241"/>
      <c r="I74" s="241"/>
      <c r="J74" s="176">
        <v>1</v>
      </c>
      <c r="K74" s="241"/>
      <c r="L74" s="241"/>
      <c r="M74" s="196"/>
      <c r="N74" s="196"/>
      <c r="O74" s="196"/>
      <c r="P74" s="241"/>
      <c r="Q74" s="242"/>
      <c r="R74" s="195"/>
      <c r="S74" s="195"/>
    </row>
    <row r="75">
      <c r="A75" s="0">
        <v>1</v>
      </c>
      <c r="B75" s="234">
        <v>15</v>
      </c>
      <c r="C75" s="349"/>
      <c r="D75" s="487"/>
      <c r="E75" s="183" t="s">
        <v>45</v>
      </c>
      <c r="F75" s="349"/>
      <c r="G75" s="183"/>
      <c r="H75" s="243"/>
      <c r="I75" s="243"/>
      <c r="J75" s="177">
        <v>2</v>
      </c>
      <c r="K75" s="243"/>
      <c r="L75" s="243"/>
      <c r="M75" s="244"/>
      <c r="N75" s="244"/>
      <c r="O75" s="244"/>
      <c r="P75" s="243"/>
      <c r="Q75" s="245"/>
      <c r="R75" s="195"/>
      <c r="S75" s="195"/>
    </row>
    <row r="76">
      <c r="A76" s="0">
        <v>1</v>
      </c>
      <c r="B76" s="234">
        <v>16</v>
      </c>
      <c r="C76" s="349"/>
      <c r="D76" s="487"/>
      <c r="E76" s="183" t="s">
        <v>46</v>
      </c>
      <c r="F76" s="349"/>
      <c r="G76" s="183"/>
      <c r="H76" s="243"/>
      <c r="I76" s="243"/>
      <c r="J76" s="177">
        <v>3</v>
      </c>
      <c r="K76" s="243"/>
      <c r="L76" s="243"/>
      <c r="M76" s="244"/>
      <c r="N76" s="244"/>
      <c r="O76" s="244"/>
      <c r="P76" s="243"/>
      <c r="Q76" s="245"/>
      <c r="R76" s="195"/>
      <c r="S76" s="195"/>
    </row>
    <row r="77">
      <c r="A77" s="0">
        <v>1</v>
      </c>
      <c r="B77" s="234">
        <v>17</v>
      </c>
      <c r="C77" s="349"/>
      <c r="D77" s="487"/>
      <c r="E77" s="183" t="s">
        <v>47</v>
      </c>
      <c r="F77" s="349"/>
      <c r="G77" s="183"/>
      <c r="H77" s="243"/>
      <c r="I77" s="243"/>
      <c r="J77" s="177">
        <v>4</v>
      </c>
      <c r="K77" s="243"/>
      <c r="L77" s="243"/>
      <c r="M77" s="244"/>
      <c r="N77" s="244"/>
      <c r="O77" s="244"/>
      <c r="P77" s="243"/>
      <c r="Q77" s="245"/>
      <c r="R77" s="195"/>
      <c r="S77" s="195"/>
    </row>
    <row r="78" ht="15" customHeight="1">
      <c r="A78" s="0">
        <v>1</v>
      </c>
      <c r="B78" s="234">
        <v>60</v>
      </c>
      <c r="C78" s="349" t="s">
        <v>64</v>
      </c>
      <c r="D78" s="489" t="s">
        <v>103</v>
      </c>
      <c r="E78" s="178" t="s">
        <v>65</v>
      </c>
      <c r="F78" s="367" t="s">
        <v>105</v>
      </c>
      <c r="G78" s="246"/>
      <c r="H78" s="247"/>
      <c r="I78" s="247"/>
      <c r="J78" s="197">
        <v>1</v>
      </c>
      <c r="K78" s="247"/>
      <c r="L78" s="247"/>
      <c r="M78" s="246"/>
      <c r="N78" s="246"/>
      <c r="O78" s="246"/>
      <c r="P78" s="247"/>
      <c r="Q78" s="248"/>
    </row>
    <row r="79">
      <c r="A79" s="0">
        <v>1</v>
      </c>
      <c r="B79" s="234">
        <v>61</v>
      </c>
      <c r="C79" s="349"/>
      <c r="D79" s="487"/>
      <c r="E79" s="183" t="s">
        <v>66</v>
      </c>
      <c r="F79" s="287"/>
      <c r="G79" s="244"/>
      <c r="H79" s="243"/>
      <c r="I79" s="243"/>
      <c r="J79" s="177">
        <v>2</v>
      </c>
      <c r="K79" s="243"/>
      <c r="L79" s="243"/>
      <c r="M79" s="244"/>
      <c r="N79" s="244"/>
      <c r="O79" s="244"/>
      <c r="P79" s="243"/>
      <c r="Q79" s="245"/>
    </row>
    <row r="80">
      <c r="A80" s="0">
        <v>1</v>
      </c>
      <c r="B80" s="234">
        <v>62</v>
      </c>
      <c r="C80" s="349"/>
      <c r="D80" s="487"/>
      <c r="E80" s="183" t="s">
        <v>67</v>
      </c>
      <c r="F80" s="287"/>
      <c r="G80" s="244"/>
      <c r="H80" s="243"/>
      <c r="I80" s="243"/>
      <c r="J80" s="177">
        <v>3</v>
      </c>
      <c r="K80" s="243"/>
      <c r="L80" s="243"/>
      <c r="M80" s="244"/>
      <c r="N80" s="244"/>
      <c r="O80" s="244"/>
      <c r="P80" s="243"/>
      <c r="Q80" s="245"/>
    </row>
    <row r="81" ht="15.75">
      <c r="A81" s="0">
        <v>1</v>
      </c>
      <c r="B81" s="234">
        <v>63</v>
      </c>
      <c r="C81" s="349"/>
      <c r="D81" s="487"/>
      <c r="E81" s="183" t="s">
        <v>68</v>
      </c>
      <c r="F81" s="287"/>
      <c r="G81" s="244"/>
      <c r="H81" s="243"/>
      <c r="I81" s="243"/>
      <c r="J81" s="177">
        <v>4</v>
      </c>
      <c r="K81" s="243"/>
      <c r="L81" s="243"/>
      <c r="M81" s="244"/>
      <c r="N81" s="244"/>
      <c r="O81" s="244"/>
      <c r="P81" s="243"/>
      <c r="Q81" s="245"/>
    </row>
    <row r="82" ht="15" customHeight="1">
      <c r="A82" s="0">
        <v>1</v>
      </c>
      <c r="B82" s="234">
        <v>27</v>
      </c>
      <c r="C82" s="340" t="s">
        <v>50</v>
      </c>
      <c r="D82" s="455" t="s">
        <v>106</v>
      </c>
      <c r="E82" s="191" t="s">
        <v>51</v>
      </c>
      <c r="F82" s="263" t="s">
        <v>105</v>
      </c>
      <c r="G82" s="5"/>
      <c r="H82" s="231"/>
      <c r="I82" s="231"/>
      <c r="J82" s="187">
        <v>1</v>
      </c>
      <c r="K82" s="231"/>
      <c r="L82" s="231"/>
      <c r="M82" s="5"/>
      <c r="N82" s="5"/>
      <c r="O82" s="5"/>
      <c r="P82" s="231"/>
      <c r="Q82" s="201"/>
    </row>
    <row r="83">
      <c r="A83" s="0">
        <v>1</v>
      </c>
      <c r="B83" s="234">
        <v>28</v>
      </c>
      <c r="C83" s="340"/>
      <c r="D83" s="427"/>
      <c r="E83" s="192" t="s">
        <v>53</v>
      </c>
      <c r="F83" s="337"/>
      <c r="G83" s="213"/>
      <c r="H83" s="173"/>
      <c r="I83" s="173"/>
      <c r="J83" s="188">
        <v>2</v>
      </c>
      <c r="K83" s="173"/>
      <c r="L83" s="173"/>
      <c r="M83" s="213"/>
      <c r="N83" s="213"/>
      <c r="O83" s="213"/>
      <c r="P83" s="173"/>
      <c r="Q83" s="23"/>
    </row>
    <row r="84">
      <c r="A84" s="0">
        <v>1</v>
      </c>
      <c r="B84" s="234">
        <v>29</v>
      </c>
      <c r="C84" s="340"/>
      <c r="D84" s="427"/>
      <c r="E84" s="192" t="s">
        <v>54</v>
      </c>
      <c r="F84" s="337"/>
      <c r="G84" s="213"/>
      <c r="H84" s="173"/>
      <c r="I84" s="173"/>
      <c r="J84" s="188">
        <v>3</v>
      </c>
      <c r="K84" s="173"/>
      <c r="L84" s="173"/>
      <c r="M84" s="213"/>
      <c r="N84" s="213"/>
      <c r="O84" s="213"/>
      <c r="P84" s="173"/>
      <c r="Q84" s="23"/>
    </row>
    <row r="85">
      <c r="A85" s="0">
        <v>1</v>
      </c>
      <c r="B85" s="234">
        <v>30</v>
      </c>
      <c r="C85" s="340"/>
      <c r="D85" s="427"/>
      <c r="E85" s="192" t="s">
        <v>55</v>
      </c>
      <c r="F85" s="360"/>
      <c r="G85" s="213"/>
      <c r="H85" s="173"/>
      <c r="I85" s="173"/>
      <c r="J85" s="188">
        <v>4</v>
      </c>
      <c r="K85" s="173"/>
      <c r="L85" s="173"/>
      <c r="M85" s="213"/>
      <c r="N85" s="213"/>
      <c r="O85" s="213"/>
      <c r="P85" s="173"/>
      <c r="Q85" s="23"/>
    </row>
    <row r="86" ht="15" customHeight="1">
      <c r="A86" s="0">
        <v>1</v>
      </c>
      <c r="B86" s="234">
        <v>68</v>
      </c>
      <c r="C86" s="340" t="s">
        <v>107</v>
      </c>
      <c r="D86" s="426" t="s">
        <v>106</v>
      </c>
      <c r="E86" s="198" t="s">
        <v>51</v>
      </c>
      <c r="F86" s="337" t="s">
        <v>105</v>
      </c>
      <c r="G86" s="199"/>
      <c r="H86" s="198"/>
      <c r="I86" s="198"/>
      <c r="J86" s="199">
        <v>1</v>
      </c>
      <c r="K86" s="224"/>
      <c r="L86" s="224"/>
      <c r="M86" s="223"/>
      <c r="N86" s="223"/>
      <c r="O86" s="223"/>
      <c r="P86" s="224"/>
      <c r="Q86" s="225"/>
    </row>
    <row r="87">
      <c r="A87" s="0">
        <v>1</v>
      </c>
      <c r="B87" s="234">
        <v>69</v>
      </c>
      <c r="C87" s="340"/>
      <c r="D87" s="427"/>
      <c r="E87" s="192" t="s">
        <v>53</v>
      </c>
      <c r="F87" s="337"/>
      <c r="G87" s="188"/>
      <c r="H87" s="192"/>
      <c r="I87" s="192"/>
      <c r="J87" s="188">
        <v>2</v>
      </c>
      <c r="K87" s="173"/>
      <c r="L87" s="173"/>
      <c r="M87" s="213"/>
      <c r="N87" s="213"/>
      <c r="O87" s="213"/>
      <c r="P87" s="173"/>
      <c r="Q87" s="23"/>
    </row>
    <row r="88">
      <c r="A88" s="0">
        <v>1</v>
      </c>
      <c r="B88" s="234">
        <v>70</v>
      </c>
      <c r="C88" s="340"/>
      <c r="D88" s="427"/>
      <c r="E88" s="192" t="s">
        <v>54</v>
      </c>
      <c r="F88" s="337"/>
      <c r="G88" s="188"/>
      <c r="H88" s="192"/>
      <c r="I88" s="192"/>
      <c r="J88" s="188">
        <v>3</v>
      </c>
      <c r="K88" s="173"/>
      <c r="L88" s="173"/>
      <c r="M88" s="213"/>
      <c r="N88" s="213"/>
      <c r="O88" s="213"/>
      <c r="P88" s="173"/>
      <c r="Q88" s="23"/>
    </row>
    <row r="89">
      <c r="A89" s="0">
        <v>1</v>
      </c>
      <c r="B89" s="234">
        <v>71</v>
      </c>
      <c r="C89" s="340"/>
      <c r="D89" s="427"/>
      <c r="E89" s="192" t="s">
        <v>55</v>
      </c>
      <c r="F89" s="360"/>
      <c r="G89" s="188"/>
      <c r="H89" s="192"/>
      <c r="I89" s="192"/>
      <c r="J89" s="188">
        <v>4</v>
      </c>
      <c r="K89" s="173"/>
      <c r="L89" s="173"/>
      <c r="M89" s="213"/>
      <c r="N89" s="213"/>
      <c r="O89" s="213"/>
      <c r="P89" s="173"/>
      <c r="Q89" s="23"/>
    </row>
  </sheetData>
  <mergeCells>
    <mergeCell ref="C82:C85"/>
    <mergeCell ref="D86:D89"/>
    <mergeCell ref="F86:F89"/>
    <mergeCell ref="D82:D85"/>
    <mergeCell ref="F82:F85"/>
    <mergeCell ref="C86:C89"/>
    <mergeCell ref="C70:C73"/>
    <mergeCell ref="D70:D73"/>
    <mergeCell ref="F70:F73"/>
    <mergeCell ref="G70:I73"/>
    <mergeCell ref="M70:Q73"/>
    <mergeCell ref="D78:D81"/>
    <mergeCell ref="F78:F81"/>
    <mergeCell ref="C78:C81"/>
    <mergeCell ref="D74:D77"/>
    <mergeCell ref="F74:F77"/>
    <mergeCell ref="C74:C77"/>
    <mergeCell ref="G66:I69"/>
    <mergeCell ref="M66:Q69"/>
    <mergeCell ref="C66:C69"/>
    <mergeCell ref="D50:D53"/>
    <mergeCell ref="F50:F53"/>
    <mergeCell ref="M50:M52"/>
    <mergeCell ref="M53:Q53"/>
    <mergeCell ref="C50:C53"/>
    <mergeCell ref="D58:D61"/>
    <mergeCell ref="F58:F61"/>
    <mergeCell ref="J58:L61"/>
    <mergeCell ref="M58:M60"/>
    <mergeCell ref="M61:Q61"/>
    <mergeCell ref="C54:C57"/>
    <mergeCell ref="D54:L57"/>
    <mergeCell ref="M54:M56"/>
    <mergeCell ref="C58:C61"/>
    <mergeCell ref="D66:D69"/>
    <mergeCell ref="F66:F69"/>
    <mergeCell ref="D38:D41"/>
    <mergeCell ref="F38:F41"/>
    <mergeCell ref="D30:D33"/>
    <mergeCell ref="F30:F33"/>
    <mergeCell ref="D26:D29"/>
    <mergeCell ref="F26:F29"/>
    <mergeCell ref="C46:C49"/>
    <mergeCell ref="M38:M40"/>
    <mergeCell ref="M41:Q41"/>
    <mergeCell ref="C38:C41"/>
    <mergeCell ref="D42:D45"/>
    <mergeCell ref="F42:F45"/>
    <mergeCell ref="J42:L45"/>
    <mergeCell ref="M42:M44"/>
    <mergeCell ref="M45:Q45"/>
    <mergeCell ref="C42:C45"/>
    <mergeCell ref="J38:L41"/>
    <mergeCell ref="D46:D49"/>
    <mergeCell ref="F46:F49"/>
    <mergeCell ref="J46:L49"/>
    <mergeCell ref="M46:M48"/>
    <mergeCell ref="M49:Q49"/>
    <mergeCell ref="M30:M32"/>
    <mergeCell ref="M33:Q33"/>
    <mergeCell ref="D34:D37"/>
    <mergeCell ref="F34:F37"/>
    <mergeCell ref="M34:M36"/>
    <mergeCell ref="M37:Q37"/>
    <mergeCell ref="C26:C29"/>
    <mergeCell ref="C30:C33"/>
    <mergeCell ref="C34:C37"/>
    <mergeCell ref="M26:M28"/>
    <mergeCell ref="M29:Q29"/>
    <mergeCell ref="W18:X18"/>
    <mergeCell ref="D16:D19"/>
    <mergeCell ref="F16:F19"/>
    <mergeCell ref="M16:M18"/>
    <mergeCell ref="M19:Q19"/>
    <mergeCell ref="U18:V18"/>
    <mergeCell ref="C21:C25"/>
    <mergeCell ref="D21:D24"/>
    <mergeCell ref="F21:F24"/>
    <mergeCell ref="M21:M23"/>
    <mergeCell ref="M24:Q24"/>
    <mergeCell ref="M57:Q57"/>
    <mergeCell ref="C62:C65"/>
    <mergeCell ref="D62:L65"/>
    <mergeCell ref="M62:M64"/>
    <mergeCell ref="M65:Q65"/>
    <mergeCell ref="C2:D2"/>
    <mergeCell ref="Y2:AA2"/>
    <mergeCell ref="F3:Q4"/>
    <mergeCell ref="B9:B10"/>
    <mergeCell ref="C9:C10"/>
    <mergeCell ref="D9:D10"/>
    <mergeCell ref="E9:E10"/>
    <mergeCell ref="F9:L9"/>
    <mergeCell ref="M9:Q9"/>
    <mergeCell ref="U10:V10"/>
    <mergeCell ref="C16:C20"/>
    <mergeCell ref="W10:X10"/>
    <mergeCell ref="C11:C14"/>
    <mergeCell ref="D11:D14"/>
    <mergeCell ref="F11:F14"/>
    <mergeCell ref="M11:M13"/>
    <mergeCell ref="M14:Q14"/>
    <mergeCell ref="U14:V14"/>
    <mergeCell ref="W14:X14"/>
  </mergeCells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По трансформаторам</vt:lpstr>
      <vt:lpstr>По терминалам</vt:lpstr>
      <vt:lpstr>По трансформаторам 2</vt:lpstr>
      <vt:lpstr>По терминалам 2</vt:lpstr>
      <vt:lpstr>'По трансформаторам'!Область_печати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Ryabkov Mikhail</dc:creator>
  <cp:lastModifiedBy>User</cp:lastModifiedBy>
  <dcterms:created xsi:type="dcterms:W3CDTF">2021-10-02T17:29:51Z</dcterms:created>
  <dcterms:modified xsi:type="dcterms:W3CDTF">2021-11-11T14:42:20Z</dcterms:modified>
</cp:coreProperties>
</file>